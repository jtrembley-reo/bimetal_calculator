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exivity" sheetId="1" r:id="rId5"/>
    <sheet state="visible" name="SpecificDeflection" sheetId="2" r:id="rId6"/>
    <sheet state="visible" name="Calculator (Imperial)" sheetId="3" r:id="rId7"/>
    <sheet state="visible" name="Sheet2" sheetId="4" r:id="rId8"/>
    <sheet state="visible" name="Calculator (Metric)" sheetId="5" r:id="rId9"/>
  </sheets>
  <definedNames>
    <definedName name="ANGULAR_DEFLECTION">LAMBDA(thickness, length, flexivity, temp_change, (67*flexivity*temp_change*length)/thickness)</definedName>
  </definedNames>
  <calcPr/>
</workbook>
</file>

<file path=xl/sharedStrings.xml><?xml version="1.0" encoding="utf-8"?>
<sst xmlns="http://schemas.openxmlformats.org/spreadsheetml/2006/main" count="268" uniqueCount="135">
  <si>
    <t>Material Type</t>
  </si>
  <si>
    <t>Modulus</t>
  </si>
  <si>
    <t>A1</t>
  </si>
  <si>
    <t>B1</t>
  </si>
  <si>
    <t>B2</t>
  </si>
  <si>
    <t>B3</t>
  </si>
  <si>
    <t>B11</t>
  </si>
  <si>
    <t>BN</t>
  </si>
  <si>
    <t>BP1</t>
  </si>
  <si>
    <t>B100R</t>
  </si>
  <si>
    <t>B125R</t>
  </si>
  <si>
    <t>B150R</t>
  </si>
  <si>
    <t>B175R</t>
  </si>
  <si>
    <t>B200R</t>
  </si>
  <si>
    <t>B250R</t>
  </si>
  <si>
    <t>B300R</t>
  </si>
  <si>
    <t>B350R</t>
  </si>
  <si>
    <t>B400R</t>
  </si>
  <si>
    <t>C1</t>
  </si>
  <si>
    <t>C3</t>
  </si>
  <si>
    <t>C11</t>
  </si>
  <si>
    <t>D560R</t>
  </si>
  <si>
    <t>E1</t>
  </si>
  <si>
    <t>E3</t>
  </si>
  <si>
    <t>E4</t>
  </si>
  <si>
    <t>E5</t>
  </si>
  <si>
    <t>F15R</t>
  </si>
  <si>
    <t>F20R</t>
  </si>
  <si>
    <t>F25R</t>
  </si>
  <si>
    <t>F30R</t>
  </si>
  <si>
    <t>F35R</t>
  </si>
  <si>
    <t>F40R</t>
  </si>
  <si>
    <t>F50R</t>
  </si>
  <si>
    <t>F60R</t>
  </si>
  <si>
    <t>F70R</t>
  </si>
  <si>
    <t>F90R</t>
  </si>
  <si>
    <t>F100R</t>
  </si>
  <si>
    <t>F125R</t>
  </si>
  <si>
    <t>G1</t>
  </si>
  <si>
    <t>G3</t>
  </si>
  <si>
    <t>G7</t>
  </si>
  <si>
    <t>GB14</t>
  </si>
  <si>
    <t>J1</t>
  </si>
  <si>
    <t>J7</t>
  </si>
  <si>
    <t>M7</t>
  </si>
  <si>
    <t>MB18</t>
  </si>
  <si>
    <t>N1</t>
  </si>
  <si>
    <t>P3</t>
  </si>
  <si>
    <t>P30R</t>
  </si>
  <si>
    <t>P35R</t>
  </si>
  <si>
    <t>P40R</t>
  </si>
  <si>
    <t>P50R</t>
  </si>
  <si>
    <t>P60R</t>
  </si>
  <si>
    <t>P70R</t>
  </si>
  <si>
    <t>P90R</t>
  </si>
  <si>
    <t>P100R</t>
  </si>
  <si>
    <t>P125R</t>
  </si>
  <si>
    <t>P150R</t>
  </si>
  <si>
    <t>P175R</t>
  </si>
  <si>
    <t>P200R</t>
  </si>
  <si>
    <t>P250R</t>
  </si>
  <si>
    <t>P300R</t>
  </si>
  <si>
    <t>P350R</t>
  </si>
  <si>
    <t>P400R</t>
  </si>
  <si>
    <t>P450R</t>
  </si>
  <si>
    <t>P500R</t>
  </si>
  <si>
    <t>P550R</t>
  </si>
  <si>
    <t>P600R</t>
  </si>
  <si>
    <t>P675R</t>
  </si>
  <si>
    <t>P850R</t>
  </si>
  <si>
    <t>PJ</t>
  </si>
  <si>
    <t>Material</t>
  </si>
  <si>
    <t>1,85</t>
  </si>
  <si>
    <t>1,92</t>
  </si>
  <si>
    <t>Inputs</t>
  </si>
  <si>
    <t>T1 (°F)</t>
  </si>
  <si>
    <t>T2 (°F)</t>
  </si>
  <si>
    <t>Thickness t (inches)</t>
  </si>
  <si>
    <t>Thickness t (mm)</t>
  </si>
  <si>
    <t>Width w (inches)</t>
  </si>
  <si>
    <t>Width w (mm)</t>
  </si>
  <si>
    <t>Required Deflection A (per PDF units)</t>
  </si>
  <si>
    <t>Required Angular Rotation (deg)</t>
  </si>
  <si>
    <t>T1 (°C)</t>
  </si>
  <si>
    <t>T2 (°C)</t>
  </si>
  <si>
    <t>ΔT (°C)</t>
  </si>
  <si>
    <t>Flexivity @ T1</t>
  </si>
  <si>
    <t>Flex row</t>
  </si>
  <si>
    <t>x1 T1</t>
  </si>
  <si>
    <t>x2 T1</t>
  </si>
  <si>
    <t>y1 T1</t>
  </si>
  <si>
    <t>y2 T1</t>
  </si>
  <si>
    <t>Flexivity @ T2</t>
  </si>
  <si>
    <t>Flex col T1</t>
  </si>
  <si>
    <t>x1 T2</t>
  </si>
  <si>
    <t>x2 T2</t>
  </si>
  <si>
    <t>y1 T2</t>
  </si>
  <si>
    <t>y2 T2</t>
  </si>
  <si>
    <t>Avg Flexivity (F)</t>
  </si>
  <si>
    <t>Flex col T2</t>
  </si>
  <si>
    <t>Modulus of Elasticity</t>
  </si>
  <si>
    <t>Spec. Deflection @ T1</t>
  </si>
  <si>
    <t>Defl row</t>
  </si>
  <si>
    <t>Spec. Deflection @ T2</t>
  </si>
  <si>
    <t>Defl col T1</t>
  </si>
  <si>
    <t>Avg Spec. Deflection (A)</t>
  </si>
  <si>
    <t>Defl col T2</t>
  </si>
  <si>
    <t>Active Length (inches)</t>
  </si>
  <si>
    <t>Angular Rotation</t>
  </si>
  <si>
    <t>Active Length</t>
  </si>
  <si>
    <t>Deviation</t>
  </si>
  <si>
    <t>Mechanical Force (Newtons)</t>
  </si>
  <si>
    <t>Test Cases for Deflection</t>
  </si>
  <si>
    <t>Thickness</t>
  </si>
  <si>
    <t>Length (in)</t>
  </si>
  <si>
    <t xml:space="preserve">0.168966 every 10 degrees         </t>
  </si>
  <si>
    <t xml:space="preserve">P675R </t>
  </si>
  <si>
    <t>Nominal Flexivity</t>
  </si>
  <si>
    <t>Upper Flexivity</t>
  </si>
  <si>
    <t>Lower Flexivity</t>
  </si>
  <si>
    <t>Nominal Angle Span</t>
  </si>
  <si>
    <t>Upper Angle Span</t>
  </si>
  <si>
    <t>Lower Angle Span</t>
  </si>
  <si>
    <t>Nominal Temperature Span</t>
  </si>
  <si>
    <t>Upper Temperature Span</t>
  </si>
  <si>
    <t>Lower Temperature Span</t>
  </si>
  <si>
    <t>B3/TM30</t>
  </si>
  <si>
    <t>E4/TM4</t>
  </si>
  <si>
    <t>E5/TM5</t>
  </si>
  <si>
    <t>P675R/TM2</t>
  </si>
  <si>
    <t>Thickness (in)</t>
  </si>
  <si>
    <t>Active Length (in)</t>
  </si>
  <si>
    <t>Active Length (mm)</t>
  </si>
  <si>
    <t>Required Thickness (mm)</t>
  </si>
  <si>
    <t>Required Thickness (in)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</si>
</sst>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00"/>
    <numFmt numFmtId="166" formatCode="0.000000"/>
    <numFmt numFmtId="167" formatCode="0.00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vertical="bottom"/>
    </xf>
    <xf borderId="0" fillId="0" fontId="1" numFmtId="1" xfId="0" applyFont="1" applyNumberFormat="1"/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2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center" vertical="bottom"/>
    </xf>
    <xf borderId="0" fillId="0" fontId="2" numFmtId="1" xfId="0" applyFont="1" applyNumberFormat="1"/>
    <xf borderId="0" fillId="0" fontId="2" numFmtId="2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2" numFmtId="165" xfId="0" applyFont="1" applyNumberFormat="1"/>
    <xf borderId="0" fillId="0" fontId="1" numFmtId="165" xfId="0" applyAlignment="1" applyFont="1" applyNumberFormat="1">
      <alignment horizontal="right" vertical="bottom"/>
    </xf>
    <xf borderId="0" fillId="0" fontId="2" numFmtId="165" xfId="0" applyFont="1" applyNumberFormat="1"/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167" xfId="0" applyFont="1" applyNumberFormat="1"/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/>
    </xf>
    <xf borderId="0" fillId="0" fontId="2" numFmtId="11" xfId="0" applyFont="1" applyNumberFormat="1"/>
    <xf borderId="0" fillId="0" fontId="2" numFmtId="11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3" pivot="0" name="Flexivity-style">
      <tableStyleElement dxfId="1" type="headerRow"/>
      <tableStyleElement dxfId="2" type="firstRowStripe"/>
      <tableStyleElement dxfId="3" type="secondRowStripe"/>
    </tableStyle>
    <tableStyle count="3" pivot="0" name="SpecificDeflection-style">
      <tableStyleElement dxfId="1" type="headerRow"/>
      <tableStyleElement dxfId="2" type="firstRowStripe"/>
      <tableStyleElement dxfId="3" type="secondRowStripe"/>
    </tableStyle>
    <tableStyle count="4" pivot="0" name="Calculator (Imperial)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5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Flexivi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5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pecificDeflec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E28:G35" displayName="Table1" name="Table1" id="3">
  <tableColumns count="3">
    <tableColumn name="Angular Rotation" id="1"/>
    <tableColumn name="Active Length" id="2"/>
    <tableColumn name="Deviation" id="3"/>
  </tableColumns>
  <tableStyleInfo name="Calculator (Imperial)-style" showColumnStripes="0" showFirstColumn="1" showLastColumn="1" showRowStripes="1"/>
</table>
</file>

<file path=xl/tables/table4.xml><?xml version="1.0" encoding="utf-8"?>
<table xmlns="http://schemas.openxmlformats.org/spreadsheetml/2006/main" ref="A1:B2" displayName="Physical_Dims" name="Physical_Dims" id="4">
  <tableColumns count="2">
    <tableColumn name="Thickness (in)" id="1"/>
    <tableColumn name="Active Length (in)" id="2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">
        <v>-100.0</v>
      </c>
      <c r="C1" s="2">
        <v>-50.0</v>
      </c>
      <c r="D1" s="2">
        <v>0.0</v>
      </c>
      <c r="E1" s="2">
        <v>50.0</v>
      </c>
      <c r="F1" s="2">
        <v>100.0</v>
      </c>
      <c r="G1" s="2">
        <v>150.0</v>
      </c>
      <c r="H1" s="2">
        <v>200.0</v>
      </c>
      <c r="I1" s="2">
        <v>250.0</v>
      </c>
      <c r="J1" s="2">
        <v>300.0</v>
      </c>
      <c r="K1" s="2">
        <v>350.0</v>
      </c>
      <c r="L1" s="2">
        <v>400.0</v>
      </c>
      <c r="M1" s="2">
        <v>450.0</v>
      </c>
      <c r="N1" s="2">
        <v>500.0</v>
      </c>
      <c r="O1" s="2">
        <v>550.0</v>
      </c>
      <c r="P1" s="2">
        <v>600.0</v>
      </c>
      <c r="Q1" s="2">
        <v>650.0</v>
      </c>
      <c r="R1" s="2">
        <v>700.0</v>
      </c>
      <c r="S1" s="2">
        <v>800.0</v>
      </c>
      <c r="T1" s="2">
        <v>900.0</v>
      </c>
      <c r="U1" s="2">
        <v>1000.0</v>
      </c>
      <c r="V1" s="3" t="s">
        <v>1</v>
      </c>
      <c r="W1" s="4"/>
      <c r="X1" s="4"/>
      <c r="Z1" s="5"/>
    </row>
    <row r="2">
      <c r="A2" s="1" t="s">
        <v>2</v>
      </c>
      <c r="B2" s="6">
        <v>146.0</v>
      </c>
      <c r="C2" s="6">
        <v>148.0</v>
      </c>
      <c r="D2" s="6">
        <v>149.0</v>
      </c>
      <c r="E2" s="6">
        <v>150.0</v>
      </c>
      <c r="F2" s="6">
        <v>150.0</v>
      </c>
      <c r="G2" s="6">
        <v>150.0</v>
      </c>
      <c r="H2" s="6">
        <v>149.0</v>
      </c>
      <c r="I2" s="6">
        <v>146.0</v>
      </c>
      <c r="J2" s="6">
        <v>142.0</v>
      </c>
      <c r="K2" s="6">
        <v>134.0</v>
      </c>
      <c r="L2" s="7"/>
      <c r="M2" s="8"/>
      <c r="N2" s="8"/>
      <c r="O2" s="8"/>
      <c r="P2" s="8"/>
      <c r="Q2" s="8"/>
      <c r="R2" s="8"/>
      <c r="S2" s="7"/>
      <c r="T2" s="8"/>
      <c r="U2" s="8"/>
      <c r="V2" s="9">
        <v>18.0</v>
      </c>
      <c r="W2" s="10"/>
      <c r="X2" s="10"/>
      <c r="Y2" s="11"/>
      <c r="Z2" s="5"/>
    </row>
    <row r="3">
      <c r="A3" s="1" t="s">
        <v>3</v>
      </c>
      <c r="B3" s="6">
        <v>126.0</v>
      </c>
      <c r="C3" s="6">
        <v>135.0</v>
      </c>
      <c r="D3" s="6">
        <v>144.0</v>
      </c>
      <c r="E3" s="6">
        <v>150.0</v>
      </c>
      <c r="F3" s="6">
        <v>150.0</v>
      </c>
      <c r="G3" s="6">
        <v>150.0</v>
      </c>
      <c r="H3" s="6">
        <v>150.0</v>
      </c>
      <c r="I3" s="6">
        <v>146.0</v>
      </c>
      <c r="J3" s="6">
        <v>139.0</v>
      </c>
      <c r="K3" s="6">
        <v>130.0</v>
      </c>
      <c r="L3" s="6">
        <v>116.0</v>
      </c>
      <c r="M3" s="6">
        <v>92.0</v>
      </c>
      <c r="N3" s="6">
        <v>68.0</v>
      </c>
      <c r="O3" s="6">
        <v>47.0</v>
      </c>
      <c r="P3" s="6">
        <v>38.0</v>
      </c>
      <c r="Q3" s="6">
        <v>35.0</v>
      </c>
      <c r="R3" s="6">
        <v>31.0</v>
      </c>
      <c r="S3" s="6">
        <v>28.0</v>
      </c>
      <c r="T3" s="6">
        <v>24.0</v>
      </c>
      <c r="U3" s="6">
        <v>22.0</v>
      </c>
      <c r="V3" s="9">
        <v>25.0</v>
      </c>
      <c r="W3" s="10"/>
      <c r="X3" s="10"/>
      <c r="Y3" s="11"/>
      <c r="Z3" s="5"/>
    </row>
    <row r="4">
      <c r="A4" s="1" t="s">
        <v>4</v>
      </c>
      <c r="B4" s="6">
        <v>108.0</v>
      </c>
      <c r="C4" s="6">
        <v>114.0</v>
      </c>
      <c r="D4" s="6">
        <v>118.0</v>
      </c>
      <c r="E4" s="6">
        <v>123.0</v>
      </c>
      <c r="F4" s="6">
        <v>126.0</v>
      </c>
      <c r="G4" s="6">
        <v>129.0</v>
      </c>
      <c r="H4" s="6">
        <v>130.0</v>
      </c>
      <c r="I4" s="6">
        <v>132.0</v>
      </c>
      <c r="J4" s="6">
        <v>134.0</v>
      </c>
      <c r="K4" s="6">
        <v>135.0</v>
      </c>
      <c r="L4" s="6">
        <v>137.0</v>
      </c>
      <c r="M4" s="6">
        <v>138.0</v>
      </c>
      <c r="N4" s="6">
        <v>135.0</v>
      </c>
      <c r="O4" s="6">
        <v>124.0</v>
      </c>
      <c r="P4" s="6">
        <v>92.0</v>
      </c>
      <c r="Q4" s="6">
        <v>69.0</v>
      </c>
      <c r="R4" s="6">
        <v>55.0</v>
      </c>
      <c r="S4" s="6">
        <v>47.0</v>
      </c>
      <c r="T4" s="6">
        <v>44.0</v>
      </c>
      <c r="U4" s="6">
        <v>38.0</v>
      </c>
      <c r="V4" s="9">
        <v>25.0</v>
      </c>
      <c r="W4" s="10"/>
      <c r="X4" s="10"/>
      <c r="Y4" s="11"/>
      <c r="Z4" s="5"/>
    </row>
    <row r="5">
      <c r="A5" s="1" t="s">
        <v>5</v>
      </c>
      <c r="B5" s="6">
        <v>87.0</v>
      </c>
      <c r="C5" s="6">
        <v>96.0</v>
      </c>
      <c r="D5" s="6">
        <v>105.0</v>
      </c>
      <c r="E5" s="6">
        <v>112.0</v>
      </c>
      <c r="F5" s="6">
        <v>119.0</v>
      </c>
      <c r="G5" s="6">
        <v>121.0</v>
      </c>
      <c r="H5" s="6">
        <v>125.0</v>
      </c>
      <c r="I5" s="6">
        <v>127.0</v>
      </c>
      <c r="J5" s="6">
        <v>131.0</v>
      </c>
      <c r="K5" s="6">
        <v>132.0</v>
      </c>
      <c r="L5" s="6">
        <v>133.0</v>
      </c>
      <c r="M5" s="6">
        <v>133.0</v>
      </c>
      <c r="N5" s="6">
        <v>135.0</v>
      </c>
      <c r="O5" s="6">
        <v>135.0</v>
      </c>
      <c r="P5" s="6">
        <v>129.0</v>
      </c>
      <c r="Q5" s="6">
        <v>107.0</v>
      </c>
      <c r="R5" s="6">
        <v>80.0</v>
      </c>
      <c r="S5" s="6">
        <v>51.0</v>
      </c>
      <c r="T5" s="6">
        <v>47.0</v>
      </c>
      <c r="U5" s="6">
        <v>40.0</v>
      </c>
      <c r="V5" s="9">
        <v>25.0</v>
      </c>
      <c r="W5" s="10"/>
      <c r="X5" s="10"/>
      <c r="Y5" s="11"/>
      <c r="Z5" s="5"/>
    </row>
    <row r="6">
      <c r="A6" s="1" t="s">
        <v>6</v>
      </c>
      <c r="B6" s="6">
        <v>113.0</v>
      </c>
      <c r="C6" s="6">
        <v>120.0</v>
      </c>
      <c r="D6" s="6">
        <v>125.0</v>
      </c>
      <c r="E6" s="6">
        <v>135.0</v>
      </c>
      <c r="F6" s="6">
        <v>137.0</v>
      </c>
      <c r="G6" s="6">
        <v>142.0</v>
      </c>
      <c r="H6" s="6">
        <v>146.0</v>
      </c>
      <c r="I6" s="6">
        <v>146.0</v>
      </c>
      <c r="J6" s="6">
        <v>146.0</v>
      </c>
      <c r="K6" s="6">
        <v>146.0</v>
      </c>
      <c r="L6" s="6">
        <v>146.0</v>
      </c>
      <c r="M6" s="6">
        <v>142.0</v>
      </c>
      <c r="N6" s="6">
        <v>120.0</v>
      </c>
      <c r="O6" s="6">
        <v>98.0</v>
      </c>
      <c r="P6" s="6">
        <v>83.0</v>
      </c>
      <c r="Q6" s="6">
        <v>65.0</v>
      </c>
      <c r="R6" s="6">
        <v>57.0</v>
      </c>
      <c r="S6" s="6">
        <v>37.0</v>
      </c>
      <c r="T6" s="6">
        <v>33.0</v>
      </c>
      <c r="U6" s="6">
        <v>30.0</v>
      </c>
      <c r="V6" s="9">
        <v>25.0</v>
      </c>
      <c r="W6" s="10"/>
      <c r="X6" s="10"/>
      <c r="Y6" s="11"/>
      <c r="Z6" s="5"/>
    </row>
    <row r="7">
      <c r="A7" s="1" t="s">
        <v>7</v>
      </c>
      <c r="B7" s="6">
        <v>35.0</v>
      </c>
      <c r="C7" s="6">
        <v>38.0</v>
      </c>
      <c r="D7" s="6">
        <v>44.0</v>
      </c>
      <c r="E7" s="6">
        <v>44.0</v>
      </c>
      <c r="F7" s="6">
        <v>45.0</v>
      </c>
      <c r="G7" s="6">
        <v>47.0</v>
      </c>
      <c r="H7" s="6">
        <v>48.0</v>
      </c>
      <c r="I7" s="6">
        <v>47.0</v>
      </c>
      <c r="J7" s="6">
        <v>47.0</v>
      </c>
      <c r="K7" s="6">
        <v>43.0</v>
      </c>
      <c r="L7" s="6">
        <v>38.0</v>
      </c>
      <c r="M7" s="6">
        <v>36.0</v>
      </c>
      <c r="N7" s="6">
        <v>33.0</v>
      </c>
      <c r="O7" s="6">
        <v>30.0</v>
      </c>
      <c r="P7" s="6">
        <v>29.0</v>
      </c>
      <c r="Q7" s="6">
        <v>23.0</v>
      </c>
      <c r="R7" s="6">
        <v>15.0</v>
      </c>
      <c r="S7" s="8"/>
      <c r="T7" s="8"/>
      <c r="U7" s="8"/>
      <c r="V7" s="9">
        <v>28.5</v>
      </c>
      <c r="W7" s="10"/>
      <c r="X7" s="10"/>
      <c r="Y7" s="11"/>
      <c r="Z7" s="5"/>
    </row>
    <row r="8">
      <c r="A8" s="1" t="s">
        <v>8</v>
      </c>
      <c r="B8" s="6">
        <v>150.0</v>
      </c>
      <c r="C8" s="6">
        <v>168.0</v>
      </c>
      <c r="D8" s="6">
        <v>189.0</v>
      </c>
      <c r="E8" s="6">
        <v>185.0</v>
      </c>
      <c r="F8" s="6">
        <v>185.0</v>
      </c>
      <c r="G8" s="6">
        <v>185.0</v>
      </c>
      <c r="H8" s="6">
        <v>186.0</v>
      </c>
      <c r="I8" s="6">
        <v>186.0</v>
      </c>
      <c r="J8" s="6">
        <v>186.0</v>
      </c>
      <c r="K8" s="6">
        <v>185.0</v>
      </c>
      <c r="L8" s="6">
        <v>183.0</v>
      </c>
      <c r="M8" s="6">
        <v>165.0</v>
      </c>
      <c r="N8" s="6">
        <v>139.0</v>
      </c>
      <c r="O8" s="6">
        <v>129.0</v>
      </c>
      <c r="P8" s="6">
        <v>126.0</v>
      </c>
      <c r="Q8" s="8"/>
      <c r="R8" s="8"/>
      <c r="S8" s="8"/>
      <c r="T8" s="8"/>
      <c r="U8" s="8"/>
      <c r="V8" s="9">
        <v>20.0</v>
      </c>
      <c r="W8" s="10"/>
      <c r="X8" s="10"/>
      <c r="Y8" s="11"/>
      <c r="Z8" s="5"/>
    </row>
    <row r="9">
      <c r="A9" s="1" t="s">
        <v>9</v>
      </c>
      <c r="B9" s="6">
        <v>102.0</v>
      </c>
      <c r="C9" s="6">
        <v>110.0</v>
      </c>
      <c r="D9" s="6">
        <v>112.0</v>
      </c>
      <c r="E9" s="6">
        <v>113.0</v>
      </c>
      <c r="F9" s="6">
        <v>113.0</v>
      </c>
      <c r="G9" s="6">
        <v>114.0</v>
      </c>
      <c r="H9" s="6">
        <v>114.0</v>
      </c>
      <c r="I9" s="6">
        <v>113.0</v>
      </c>
      <c r="J9" s="6">
        <v>106.0</v>
      </c>
      <c r="K9" s="6">
        <v>100.0</v>
      </c>
      <c r="L9" s="6">
        <v>86.0</v>
      </c>
      <c r="M9" s="6">
        <v>65.0</v>
      </c>
      <c r="N9" s="6">
        <v>42.0</v>
      </c>
      <c r="O9" s="6">
        <v>32.0</v>
      </c>
      <c r="P9" s="6">
        <v>25.0</v>
      </c>
      <c r="Q9" s="6">
        <v>22.0</v>
      </c>
      <c r="R9" s="6">
        <v>17.0</v>
      </c>
      <c r="S9" s="6">
        <v>16.0</v>
      </c>
      <c r="T9" s="6">
        <v>16.0</v>
      </c>
      <c r="U9" s="6">
        <v>16.0</v>
      </c>
      <c r="V9" s="9">
        <v>26.0</v>
      </c>
      <c r="W9" s="10"/>
      <c r="X9" s="10"/>
      <c r="Y9" s="11"/>
      <c r="Z9" s="5"/>
    </row>
    <row r="10">
      <c r="A10" s="1" t="s">
        <v>10</v>
      </c>
      <c r="B10" s="6">
        <v>113.0</v>
      </c>
      <c r="C10" s="6">
        <v>123.0</v>
      </c>
      <c r="D10" s="6">
        <v>128.0</v>
      </c>
      <c r="E10" s="6">
        <v>129.0</v>
      </c>
      <c r="F10" s="6">
        <v>130.0</v>
      </c>
      <c r="G10" s="6">
        <v>129.0</v>
      </c>
      <c r="H10" s="6">
        <v>128.0</v>
      </c>
      <c r="I10" s="6">
        <v>126.0</v>
      </c>
      <c r="J10" s="6">
        <v>125.0</v>
      </c>
      <c r="K10" s="6">
        <v>119.0</v>
      </c>
      <c r="L10" s="6">
        <v>99.0</v>
      </c>
      <c r="M10" s="6">
        <v>77.0</v>
      </c>
      <c r="N10" s="6">
        <v>56.0</v>
      </c>
      <c r="O10" s="6">
        <v>46.0</v>
      </c>
      <c r="P10" s="6">
        <v>32.0</v>
      </c>
      <c r="Q10" s="6">
        <v>28.0</v>
      </c>
      <c r="R10" s="6">
        <v>25.0</v>
      </c>
      <c r="S10" s="6">
        <v>23.0</v>
      </c>
      <c r="T10" s="6">
        <v>19.0</v>
      </c>
      <c r="U10" s="6">
        <v>17.0</v>
      </c>
      <c r="V10" s="9">
        <v>26.0</v>
      </c>
      <c r="W10" s="10"/>
      <c r="X10" s="10"/>
      <c r="Y10" s="11"/>
      <c r="Z10" s="5"/>
    </row>
    <row r="11">
      <c r="A11" s="1" t="s">
        <v>11</v>
      </c>
      <c r="B11" s="6">
        <v>118.0</v>
      </c>
      <c r="C11" s="6">
        <v>126.0</v>
      </c>
      <c r="D11" s="6">
        <v>135.0</v>
      </c>
      <c r="E11" s="6">
        <v>136.0</v>
      </c>
      <c r="F11" s="6">
        <v>137.0</v>
      </c>
      <c r="G11" s="6">
        <v>138.0</v>
      </c>
      <c r="H11" s="6">
        <v>136.0</v>
      </c>
      <c r="I11" s="6">
        <v>135.0</v>
      </c>
      <c r="J11" s="6">
        <v>130.0</v>
      </c>
      <c r="K11" s="6">
        <v>121.0</v>
      </c>
      <c r="L11" s="6">
        <v>105.0</v>
      </c>
      <c r="M11" s="6">
        <v>76.0</v>
      </c>
      <c r="N11" s="6">
        <v>53.0</v>
      </c>
      <c r="O11" s="6">
        <v>42.0</v>
      </c>
      <c r="P11" s="6">
        <v>37.0</v>
      </c>
      <c r="Q11" s="6">
        <v>31.0</v>
      </c>
      <c r="R11" s="6">
        <v>26.0</v>
      </c>
      <c r="S11" s="6">
        <v>19.0</v>
      </c>
      <c r="T11" s="6">
        <v>17.0</v>
      </c>
      <c r="U11" s="6">
        <v>16.0</v>
      </c>
      <c r="V11" s="9">
        <v>26.0</v>
      </c>
      <c r="W11" s="10"/>
      <c r="X11" s="10"/>
      <c r="Y11" s="11"/>
      <c r="Z11" s="5"/>
    </row>
    <row r="12">
      <c r="A12" s="1" t="s">
        <v>12</v>
      </c>
      <c r="B12" s="6">
        <v>122.0</v>
      </c>
      <c r="C12" s="6">
        <v>129.0</v>
      </c>
      <c r="D12" s="6">
        <v>141.0</v>
      </c>
      <c r="E12" s="6">
        <v>142.0</v>
      </c>
      <c r="F12" s="6">
        <v>142.0</v>
      </c>
      <c r="G12" s="6">
        <v>143.0</v>
      </c>
      <c r="H12" s="6">
        <v>142.0</v>
      </c>
      <c r="I12" s="6">
        <v>141.0</v>
      </c>
      <c r="J12" s="6">
        <v>135.0</v>
      </c>
      <c r="K12" s="6">
        <v>125.0</v>
      </c>
      <c r="L12" s="6">
        <v>109.0</v>
      </c>
      <c r="M12" s="6">
        <v>78.0</v>
      </c>
      <c r="N12" s="6">
        <v>54.0</v>
      </c>
      <c r="O12" s="6">
        <v>45.0</v>
      </c>
      <c r="P12" s="6">
        <v>38.0</v>
      </c>
      <c r="Q12" s="6">
        <v>31.0</v>
      </c>
      <c r="R12" s="6">
        <v>28.0</v>
      </c>
      <c r="S12" s="6">
        <v>21.0</v>
      </c>
      <c r="T12" s="6">
        <v>18.0</v>
      </c>
      <c r="U12" s="6">
        <v>16.0</v>
      </c>
      <c r="V12" s="12">
        <v>25.5</v>
      </c>
      <c r="W12" s="10"/>
      <c r="X12" s="10"/>
      <c r="Y12" s="11"/>
      <c r="Z12" s="5"/>
    </row>
    <row r="13">
      <c r="A13" s="1" t="s">
        <v>13</v>
      </c>
      <c r="B13" s="6">
        <v>124.0</v>
      </c>
      <c r="C13" s="6">
        <v>134.0</v>
      </c>
      <c r="D13" s="6">
        <v>143.0</v>
      </c>
      <c r="E13" s="6">
        <v>143.0</v>
      </c>
      <c r="F13" s="6">
        <v>144.0</v>
      </c>
      <c r="G13" s="6">
        <v>145.0</v>
      </c>
      <c r="H13" s="6">
        <v>145.0</v>
      </c>
      <c r="I13" s="6">
        <v>140.0</v>
      </c>
      <c r="J13" s="6">
        <v>134.0</v>
      </c>
      <c r="K13" s="6">
        <v>126.0</v>
      </c>
      <c r="L13" s="6">
        <v>112.0</v>
      </c>
      <c r="M13" s="6">
        <v>81.0</v>
      </c>
      <c r="N13" s="6">
        <v>50.0</v>
      </c>
      <c r="O13" s="6">
        <v>40.0</v>
      </c>
      <c r="P13" s="6">
        <v>31.0</v>
      </c>
      <c r="Q13" s="6">
        <v>30.0</v>
      </c>
      <c r="R13" s="6">
        <v>26.0</v>
      </c>
      <c r="S13" s="6">
        <v>25.0</v>
      </c>
      <c r="T13" s="6">
        <v>22.0</v>
      </c>
      <c r="U13" s="6">
        <v>18.0</v>
      </c>
      <c r="V13" s="13">
        <v>25.5</v>
      </c>
      <c r="W13" s="10"/>
      <c r="X13" s="10"/>
      <c r="Y13" s="11"/>
      <c r="Z13" s="5"/>
    </row>
    <row r="14">
      <c r="A14" s="1" t="s">
        <v>14</v>
      </c>
      <c r="B14" s="6">
        <v>130.0</v>
      </c>
      <c r="C14" s="6">
        <v>140.0</v>
      </c>
      <c r="D14" s="6">
        <v>142.0</v>
      </c>
      <c r="E14" s="6">
        <v>147.0</v>
      </c>
      <c r="F14" s="6">
        <v>147.0</v>
      </c>
      <c r="G14" s="6">
        <v>147.0</v>
      </c>
      <c r="H14" s="6">
        <v>147.0</v>
      </c>
      <c r="I14" s="6">
        <v>144.0</v>
      </c>
      <c r="J14" s="6">
        <v>139.0</v>
      </c>
      <c r="K14" s="6">
        <v>125.0</v>
      </c>
      <c r="L14" s="6">
        <v>112.0</v>
      </c>
      <c r="M14" s="6">
        <v>82.0</v>
      </c>
      <c r="N14" s="6">
        <v>67.0</v>
      </c>
      <c r="O14" s="6">
        <v>53.0</v>
      </c>
      <c r="P14" s="6">
        <v>44.0</v>
      </c>
      <c r="Q14" s="6">
        <v>38.0</v>
      </c>
      <c r="R14" s="6">
        <v>30.0</v>
      </c>
      <c r="S14" s="6">
        <v>28.0</v>
      </c>
      <c r="T14" s="6">
        <v>25.0</v>
      </c>
      <c r="U14" s="6">
        <v>22.0</v>
      </c>
      <c r="V14" s="12">
        <v>25.5</v>
      </c>
      <c r="W14" s="10"/>
      <c r="X14" s="10"/>
      <c r="Y14" s="11"/>
      <c r="Z14" s="5"/>
    </row>
    <row r="15">
      <c r="A15" s="1" t="s">
        <v>15</v>
      </c>
      <c r="B15" s="6">
        <v>132.0</v>
      </c>
      <c r="C15" s="6">
        <v>142.0</v>
      </c>
      <c r="D15" s="6">
        <v>145.0</v>
      </c>
      <c r="E15" s="6">
        <v>149.0</v>
      </c>
      <c r="F15" s="6">
        <v>149.0</v>
      </c>
      <c r="G15" s="6">
        <v>150.0</v>
      </c>
      <c r="H15" s="6">
        <v>149.0</v>
      </c>
      <c r="I15" s="6">
        <v>146.0</v>
      </c>
      <c r="J15" s="6">
        <v>141.0</v>
      </c>
      <c r="K15" s="6">
        <v>128.0</v>
      </c>
      <c r="L15" s="6">
        <v>112.0</v>
      </c>
      <c r="M15" s="6">
        <v>83.0</v>
      </c>
      <c r="N15" s="6">
        <v>67.0</v>
      </c>
      <c r="O15" s="6">
        <v>53.0</v>
      </c>
      <c r="P15" s="6">
        <v>44.0</v>
      </c>
      <c r="Q15" s="6">
        <v>38.0</v>
      </c>
      <c r="R15" s="6">
        <v>30.0</v>
      </c>
      <c r="S15" s="6">
        <v>28.0</v>
      </c>
      <c r="T15" s="6">
        <v>25.0</v>
      </c>
      <c r="U15" s="6">
        <v>22.0</v>
      </c>
      <c r="V15" s="9">
        <v>25.0</v>
      </c>
      <c r="W15" s="10"/>
      <c r="X15" s="10"/>
      <c r="Y15" s="11"/>
      <c r="Z15" s="5"/>
    </row>
    <row r="16">
      <c r="A16" s="1" t="s">
        <v>16</v>
      </c>
      <c r="B16" s="6">
        <v>135.0</v>
      </c>
      <c r="C16" s="6">
        <v>140.0</v>
      </c>
      <c r="D16" s="6">
        <v>147.0</v>
      </c>
      <c r="E16" s="6">
        <v>149.0</v>
      </c>
      <c r="F16" s="6">
        <v>150.0</v>
      </c>
      <c r="G16" s="6">
        <v>150.0</v>
      </c>
      <c r="H16" s="6">
        <v>148.0</v>
      </c>
      <c r="I16" s="6">
        <v>144.0</v>
      </c>
      <c r="J16" s="6">
        <v>140.0</v>
      </c>
      <c r="K16" s="6">
        <v>129.0</v>
      </c>
      <c r="L16" s="6">
        <v>111.0</v>
      </c>
      <c r="M16" s="6">
        <v>81.0</v>
      </c>
      <c r="N16" s="6">
        <v>64.0</v>
      </c>
      <c r="O16" s="6">
        <v>48.0</v>
      </c>
      <c r="P16" s="6">
        <v>33.0</v>
      </c>
      <c r="Q16" s="6">
        <v>31.0</v>
      </c>
      <c r="R16" s="6">
        <v>29.0</v>
      </c>
      <c r="S16" s="6">
        <v>25.0</v>
      </c>
      <c r="T16" s="6">
        <v>23.0</v>
      </c>
      <c r="U16" s="6">
        <v>21.0</v>
      </c>
      <c r="V16" s="9">
        <v>25.0</v>
      </c>
      <c r="W16" s="10"/>
      <c r="X16" s="10"/>
      <c r="Y16" s="11"/>
      <c r="Z16" s="5"/>
    </row>
    <row r="17">
      <c r="A17" s="1" t="s">
        <v>17</v>
      </c>
      <c r="B17" s="6">
        <v>135.0</v>
      </c>
      <c r="C17" s="6">
        <v>140.0</v>
      </c>
      <c r="D17" s="6">
        <v>147.0</v>
      </c>
      <c r="E17" s="6">
        <v>149.0</v>
      </c>
      <c r="F17" s="6">
        <v>150.0</v>
      </c>
      <c r="G17" s="6">
        <v>150.0</v>
      </c>
      <c r="H17" s="6">
        <v>148.0</v>
      </c>
      <c r="I17" s="6">
        <v>144.0</v>
      </c>
      <c r="J17" s="6">
        <v>140.0</v>
      </c>
      <c r="K17" s="6">
        <v>129.0</v>
      </c>
      <c r="L17" s="6">
        <v>111.0</v>
      </c>
      <c r="M17" s="6">
        <v>81.0</v>
      </c>
      <c r="N17" s="6">
        <v>64.0</v>
      </c>
      <c r="O17" s="6">
        <v>48.0</v>
      </c>
      <c r="P17" s="6">
        <v>33.0</v>
      </c>
      <c r="Q17" s="6">
        <v>31.0</v>
      </c>
      <c r="R17" s="6">
        <v>29.0</v>
      </c>
      <c r="S17" s="6">
        <v>25.0</v>
      </c>
      <c r="T17" s="6">
        <v>23.0</v>
      </c>
      <c r="U17" s="6">
        <v>21.0</v>
      </c>
      <c r="V17" s="9">
        <v>25.0</v>
      </c>
      <c r="W17" s="10"/>
      <c r="X17" s="10"/>
      <c r="Y17" s="11"/>
      <c r="Z17" s="5"/>
    </row>
    <row r="18">
      <c r="A18" s="1" t="s">
        <v>18</v>
      </c>
      <c r="B18" s="6">
        <v>136.0</v>
      </c>
      <c r="C18" s="6">
        <v>142.0</v>
      </c>
      <c r="D18" s="6">
        <v>149.0</v>
      </c>
      <c r="E18" s="6">
        <v>153.0</v>
      </c>
      <c r="F18" s="6">
        <v>154.0</v>
      </c>
      <c r="G18" s="6">
        <v>154.0</v>
      </c>
      <c r="H18" s="6">
        <v>153.0</v>
      </c>
      <c r="I18" s="6">
        <v>149.0</v>
      </c>
      <c r="J18" s="6">
        <v>144.0</v>
      </c>
      <c r="K18" s="6">
        <v>117.0</v>
      </c>
      <c r="L18" s="6">
        <v>102.0</v>
      </c>
      <c r="M18" s="6">
        <v>85.0</v>
      </c>
      <c r="N18" s="6">
        <v>65.0</v>
      </c>
      <c r="O18" s="6">
        <v>49.0</v>
      </c>
      <c r="P18" s="6">
        <v>39.0</v>
      </c>
      <c r="Q18" s="6">
        <v>31.0</v>
      </c>
      <c r="R18" s="6">
        <v>25.0</v>
      </c>
      <c r="S18" s="6">
        <v>15.0</v>
      </c>
      <c r="T18" s="6">
        <v>14.0</v>
      </c>
      <c r="U18" s="6">
        <v>12.0</v>
      </c>
      <c r="V18" s="9">
        <v>25.0</v>
      </c>
      <c r="W18" s="10"/>
      <c r="X18" s="10"/>
      <c r="Y18" s="11"/>
      <c r="Z18" s="5"/>
    </row>
    <row r="19">
      <c r="A19" s="1" t="s">
        <v>19</v>
      </c>
      <c r="B19" s="6">
        <v>99.0</v>
      </c>
      <c r="C19" s="6">
        <v>107.0</v>
      </c>
      <c r="D19" s="6">
        <v>113.0</v>
      </c>
      <c r="E19" s="6">
        <v>119.0</v>
      </c>
      <c r="F19" s="6">
        <v>121.0</v>
      </c>
      <c r="G19" s="6">
        <v>124.0</v>
      </c>
      <c r="H19" s="6">
        <v>126.0</v>
      </c>
      <c r="I19" s="6">
        <v>129.0</v>
      </c>
      <c r="J19" s="6">
        <v>132.0</v>
      </c>
      <c r="K19" s="6">
        <v>137.0</v>
      </c>
      <c r="L19" s="6">
        <v>138.0</v>
      </c>
      <c r="M19" s="6">
        <v>140.0</v>
      </c>
      <c r="N19" s="6">
        <v>146.0</v>
      </c>
      <c r="O19" s="6">
        <v>148.0</v>
      </c>
      <c r="P19" s="6">
        <v>148.0</v>
      </c>
      <c r="Q19" s="6">
        <v>131.0</v>
      </c>
      <c r="R19" s="6">
        <v>116.0</v>
      </c>
      <c r="S19" s="6">
        <v>62.0</v>
      </c>
      <c r="T19" s="6">
        <v>26.0</v>
      </c>
      <c r="U19" s="6">
        <v>15.0</v>
      </c>
      <c r="V19" s="9">
        <v>25.0</v>
      </c>
      <c r="W19" s="10"/>
      <c r="X19" s="10"/>
      <c r="Y19" s="11"/>
      <c r="Z19" s="5"/>
    </row>
    <row r="20">
      <c r="A20" s="1" t="s">
        <v>20</v>
      </c>
      <c r="B20" s="6">
        <v>118.0</v>
      </c>
      <c r="C20" s="6">
        <v>129.0</v>
      </c>
      <c r="D20" s="6">
        <v>136.0</v>
      </c>
      <c r="E20" s="6">
        <v>140.0</v>
      </c>
      <c r="F20" s="6">
        <v>143.0</v>
      </c>
      <c r="G20" s="6">
        <v>145.0</v>
      </c>
      <c r="H20" s="6">
        <v>149.0</v>
      </c>
      <c r="I20" s="6">
        <v>151.0</v>
      </c>
      <c r="J20" s="6">
        <v>152.0</v>
      </c>
      <c r="K20" s="6">
        <v>152.0</v>
      </c>
      <c r="L20" s="6">
        <v>152.0</v>
      </c>
      <c r="M20" s="6">
        <v>149.0</v>
      </c>
      <c r="N20" s="6">
        <v>125.0</v>
      </c>
      <c r="O20" s="6">
        <v>95.0</v>
      </c>
      <c r="P20" s="6">
        <v>73.0</v>
      </c>
      <c r="Q20" s="6">
        <v>57.0</v>
      </c>
      <c r="R20" s="6">
        <v>45.0</v>
      </c>
      <c r="S20" s="6">
        <v>31.0</v>
      </c>
      <c r="T20" s="6">
        <v>19.0</v>
      </c>
      <c r="U20" s="6">
        <v>15.0</v>
      </c>
      <c r="V20" s="9">
        <v>25.0</v>
      </c>
      <c r="W20" s="10"/>
      <c r="X20" s="10"/>
      <c r="Y20" s="11"/>
      <c r="Z20" s="5"/>
    </row>
    <row r="21">
      <c r="A21" s="1" t="s">
        <v>21</v>
      </c>
      <c r="B21" s="6">
        <v>128.0</v>
      </c>
      <c r="C21" s="6">
        <v>135.0</v>
      </c>
      <c r="D21" s="6">
        <v>143.0</v>
      </c>
      <c r="E21" s="6">
        <v>145.0</v>
      </c>
      <c r="F21" s="6">
        <v>145.0</v>
      </c>
      <c r="G21" s="6">
        <v>143.0</v>
      </c>
      <c r="H21" s="6">
        <v>142.0</v>
      </c>
      <c r="I21" s="6">
        <v>139.0</v>
      </c>
      <c r="J21" s="6">
        <v>137.0</v>
      </c>
      <c r="K21" s="6">
        <v>125.0</v>
      </c>
      <c r="L21" s="6">
        <v>112.0</v>
      </c>
      <c r="M21" s="6">
        <v>109.0</v>
      </c>
      <c r="N21" s="6">
        <v>69.0</v>
      </c>
      <c r="O21" s="6">
        <v>57.0</v>
      </c>
      <c r="P21" s="6">
        <v>48.0</v>
      </c>
      <c r="Q21" s="6">
        <v>43.0</v>
      </c>
      <c r="R21" s="6">
        <v>40.0</v>
      </c>
      <c r="S21" s="6">
        <v>35.0</v>
      </c>
      <c r="T21" s="6">
        <v>34.0</v>
      </c>
      <c r="U21" s="6">
        <v>32.0</v>
      </c>
      <c r="V21" s="9">
        <v>24.0</v>
      </c>
      <c r="W21" s="10"/>
      <c r="X21" s="10"/>
      <c r="Y21" s="11"/>
      <c r="Z21" s="5"/>
    </row>
    <row r="22">
      <c r="A22" s="1" t="s">
        <v>22</v>
      </c>
      <c r="B22" s="6">
        <v>125.0</v>
      </c>
      <c r="C22" s="6">
        <v>129.0</v>
      </c>
      <c r="D22" s="6">
        <v>136.0</v>
      </c>
      <c r="E22" s="6">
        <v>138.0</v>
      </c>
      <c r="F22" s="6">
        <v>139.0</v>
      </c>
      <c r="G22" s="6">
        <v>138.0</v>
      </c>
      <c r="H22" s="6">
        <v>135.0</v>
      </c>
      <c r="I22" s="6">
        <v>134.0</v>
      </c>
      <c r="J22" s="6">
        <v>133.0</v>
      </c>
      <c r="K22" s="6">
        <v>118.0</v>
      </c>
      <c r="L22" s="6">
        <v>100.0</v>
      </c>
      <c r="M22" s="6">
        <v>73.0</v>
      </c>
      <c r="N22" s="6">
        <v>54.0</v>
      </c>
      <c r="O22" s="6">
        <v>39.0</v>
      </c>
      <c r="P22" s="6">
        <v>33.0</v>
      </c>
      <c r="Q22" s="6">
        <v>26.0</v>
      </c>
      <c r="R22" s="6">
        <v>25.0</v>
      </c>
      <c r="S22" s="6">
        <v>22.0</v>
      </c>
      <c r="T22" s="6">
        <v>19.0</v>
      </c>
      <c r="U22" s="6">
        <v>17.0</v>
      </c>
      <c r="V22" s="9">
        <v>25.0</v>
      </c>
      <c r="W22" s="10"/>
      <c r="X22" s="10"/>
      <c r="Y22" s="11"/>
      <c r="Z22" s="5"/>
    </row>
    <row r="23">
      <c r="A23" s="1" t="s">
        <v>23</v>
      </c>
      <c r="B23" s="6">
        <v>77.0</v>
      </c>
      <c r="C23" s="6">
        <v>83.0</v>
      </c>
      <c r="D23" s="6">
        <v>90.0</v>
      </c>
      <c r="E23" s="6">
        <v>93.0</v>
      </c>
      <c r="F23" s="6">
        <v>99.0</v>
      </c>
      <c r="G23" s="6">
        <v>105.0</v>
      </c>
      <c r="H23" s="6">
        <v>108.0</v>
      </c>
      <c r="I23" s="6">
        <v>112.0</v>
      </c>
      <c r="J23" s="6">
        <v>116.0</v>
      </c>
      <c r="K23" s="6">
        <v>120.0</v>
      </c>
      <c r="L23" s="6">
        <v>121.0</v>
      </c>
      <c r="M23" s="6">
        <v>121.0</v>
      </c>
      <c r="N23" s="6">
        <v>121.0</v>
      </c>
      <c r="O23" s="6">
        <v>121.0</v>
      </c>
      <c r="P23" s="6">
        <v>121.0</v>
      </c>
      <c r="Q23" s="6">
        <v>108.0</v>
      </c>
      <c r="R23" s="6">
        <v>60.0</v>
      </c>
      <c r="S23" s="6">
        <v>41.0</v>
      </c>
      <c r="T23" s="6">
        <v>30.0</v>
      </c>
      <c r="U23" s="6">
        <v>23.0</v>
      </c>
      <c r="V23" s="9">
        <v>25.0</v>
      </c>
      <c r="W23" s="10"/>
      <c r="X23" s="10"/>
      <c r="Y23" s="11"/>
      <c r="Z23" s="5"/>
    </row>
    <row r="24">
      <c r="A24" s="1" t="s">
        <v>24</v>
      </c>
      <c r="B24" s="6">
        <v>62.0</v>
      </c>
      <c r="C24" s="6">
        <v>63.0</v>
      </c>
      <c r="D24" s="6">
        <v>69.0</v>
      </c>
      <c r="E24" s="6">
        <v>75.0</v>
      </c>
      <c r="F24" s="6">
        <v>78.0</v>
      </c>
      <c r="G24" s="6">
        <v>82.0</v>
      </c>
      <c r="H24" s="6">
        <v>85.0</v>
      </c>
      <c r="I24" s="6">
        <v>92.0</v>
      </c>
      <c r="J24" s="6">
        <v>96.0</v>
      </c>
      <c r="K24" s="6">
        <v>98.0</v>
      </c>
      <c r="L24" s="6">
        <v>101.0</v>
      </c>
      <c r="M24" s="6">
        <v>104.0</v>
      </c>
      <c r="N24" s="6">
        <v>107.0</v>
      </c>
      <c r="O24" s="6">
        <v>107.0</v>
      </c>
      <c r="P24" s="6">
        <v>107.0</v>
      </c>
      <c r="Q24" s="6">
        <v>107.0</v>
      </c>
      <c r="R24" s="6">
        <v>107.0</v>
      </c>
      <c r="S24" s="6">
        <v>56.0</v>
      </c>
      <c r="T24" s="6">
        <v>38.0</v>
      </c>
      <c r="U24" s="6">
        <v>25.0</v>
      </c>
      <c r="V24" s="12">
        <v>25.5</v>
      </c>
      <c r="W24" s="10"/>
      <c r="X24" s="10"/>
      <c r="Y24" s="11"/>
      <c r="Z24" s="5"/>
    </row>
    <row r="25">
      <c r="A25" s="1" t="s">
        <v>25</v>
      </c>
      <c r="B25" s="6">
        <v>44.0</v>
      </c>
      <c r="C25" s="6">
        <v>47.0</v>
      </c>
      <c r="D25" s="6">
        <v>51.0</v>
      </c>
      <c r="E25" s="6">
        <v>55.0</v>
      </c>
      <c r="F25" s="6">
        <v>57.0</v>
      </c>
      <c r="G25" s="6">
        <v>60.0</v>
      </c>
      <c r="H25" s="6">
        <v>66.0</v>
      </c>
      <c r="I25" s="6">
        <v>68.0</v>
      </c>
      <c r="J25" s="6">
        <v>71.0</v>
      </c>
      <c r="K25" s="6">
        <v>74.0</v>
      </c>
      <c r="L25" s="6">
        <v>75.0</v>
      </c>
      <c r="M25" s="6">
        <v>77.0</v>
      </c>
      <c r="N25" s="6">
        <v>81.0</v>
      </c>
      <c r="O25" s="6">
        <v>82.0</v>
      </c>
      <c r="P25" s="6">
        <v>83.0</v>
      </c>
      <c r="Q25" s="6">
        <v>83.0</v>
      </c>
      <c r="R25" s="6">
        <v>83.0</v>
      </c>
      <c r="S25" s="6">
        <v>82.0</v>
      </c>
      <c r="T25" s="6">
        <v>59.0</v>
      </c>
      <c r="U25" s="6">
        <v>45.0</v>
      </c>
      <c r="V25" s="12">
        <v>25.5</v>
      </c>
      <c r="W25" s="10"/>
      <c r="X25" s="10"/>
      <c r="Y25" s="11"/>
      <c r="Z25" s="5"/>
    </row>
    <row r="26">
      <c r="A26" s="1" t="s">
        <v>26</v>
      </c>
      <c r="B26" s="6">
        <v>63.0</v>
      </c>
      <c r="C26" s="6">
        <v>70.0</v>
      </c>
      <c r="D26" s="6">
        <v>72.0</v>
      </c>
      <c r="E26" s="6">
        <v>73.0</v>
      </c>
      <c r="F26" s="6">
        <v>72.0</v>
      </c>
      <c r="G26" s="6">
        <v>71.0</v>
      </c>
      <c r="H26" s="6">
        <v>67.0</v>
      </c>
      <c r="I26" s="6">
        <v>66.0</v>
      </c>
      <c r="J26" s="6">
        <v>63.0</v>
      </c>
      <c r="K26" s="6">
        <v>52.0</v>
      </c>
      <c r="L26" s="6">
        <v>47.0</v>
      </c>
      <c r="M26" s="6">
        <v>43.0</v>
      </c>
      <c r="N26" s="6">
        <v>38.0</v>
      </c>
      <c r="O26" s="6">
        <v>31.0</v>
      </c>
      <c r="P26" s="6">
        <v>28.0</v>
      </c>
      <c r="Q26" s="6">
        <v>22.0</v>
      </c>
      <c r="R26" s="6">
        <v>13.0</v>
      </c>
      <c r="S26" s="8"/>
      <c r="T26" s="8"/>
      <c r="U26" s="8"/>
      <c r="V26" s="9">
        <v>20.0</v>
      </c>
      <c r="W26" s="10"/>
      <c r="X26" s="10"/>
      <c r="Y26" s="11"/>
      <c r="Z26" s="5"/>
    </row>
    <row r="27">
      <c r="A27" s="1" t="s">
        <v>27</v>
      </c>
      <c r="B27" s="6">
        <v>114.0</v>
      </c>
      <c r="C27" s="6">
        <v>121.0</v>
      </c>
      <c r="D27" s="6">
        <v>124.0</v>
      </c>
      <c r="E27" s="6">
        <v>127.0</v>
      </c>
      <c r="F27" s="6">
        <v>128.0</v>
      </c>
      <c r="G27" s="6">
        <v>129.0</v>
      </c>
      <c r="H27" s="6">
        <v>127.0</v>
      </c>
      <c r="I27" s="6">
        <v>126.0</v>
      </c>
      <c r="J27" s="6">
        <v>118.0</v>
      </c>
      <c r="K27" s="6">
        <v>109.0</v>
      </c>
      <c r="L27" s="6">
        <v>93.0</v>
      </c>
      <c r="M27" s="6">
        <v>68.0</v>
      </c>
      <c r="N27" s="6">
        <v>48.0</v>
      </c>
      <c r="O27" s="6">
        <v>38.0</v>
      </c>
      <c r="P27" s="6">
        <v>28.0</v>
      </c>
      <c r="Q27" s="6">
        <v>22.0</v>
      </c>
      <c r="R27" s="6">
        <v>15.0</v>
      </c>
      <c r="S27" s="8"/>
      <c r="T27" s="8"/>
      <c r="U27" s="8"/>
      <c r="V27" s="9">
        <v>20.0</v>
      </c>
      <c r="W27" s="10"/>
      <c r="X27" s="10"/>
      <c r="Y27" s="11"/>
      <c r="Z27" s="5"/>
    </row>
    <row r="28">
      <c r="A28" s="1" t="s">
        <v>28</v>
      </c>
      <c r="B28" s="6">
        <v>119.0</v>
      </c>
      <c r="C28" s="6">
        <v>130.0</v>
      </c>
      <c r="D28" s="6">
        <v>133.0</v>
      </c>
      <c r="E28" s="6">
        <v>134.0</v>
      </c>
      <c r="F28" s="6">
        <v>135.0</v>
      </c>
      <c r="G28" s="6">
        <v>135.0</v>
      </c>
      <c r="H28" s="6">
        <v>134.0</v>
      </c>
      <c r="I28" s="6">
        <v>129.0</v>
      </c>
      <c r="J28" s="6">
        <v>125.0</v>
      </c>
      <c r="K28" s="6">
        <v>118.0</v>
      </c>
      <c r="L28" s="6">
        <v>97.0</v>
      </c>
      <c r="M28" s="6">
        <v>72.0</v>
      </c>
      <c r="N28" s="6">
        <v>52.0</v>
      </c>
      <c r="O28" s="6">
        <v>41.0</v>
      </c>
      <c r="P28" s="6">
        <v>31.0</v>
      </c>
      <c r="Q28" s="6">
        <v>25.0</v>
      </c>
      <c r="R28" s="6">
        <v>19.0</v>
      </c>
      <c r="S28" s="8"/>
      <c r="T28" s="8"/>
      <c r="U28" s="8"/>
      <c r="V28" s="9">
        <v>22.0</v>
      </c>
      <c r="W28" s="10"/>
      <c r="X28" s="10"/>
      <c r="Y28" s="11"/>
      <c r="Z28" s="5"/>
    </row>
    <row r="29">
      <c r="A29" s="1" t="s">
        <v>29</v>
      </c>
      <c r="B29" s="6">
        <v>129.0</v>
      </c>
      <c r="C29" s="6">
        <v>134.0</v>
      </c>
      <c r="D29" s="6">
        <v>137.0</v>
      </c>
      <c r="E29" s="6">
        <v>139.0</v>
      </c>
      <c r="F29" s="6">
        <v>139.0</v>
      </c>
      <c r="G29" s="6">
        <v>139.0</v>
      </c>
      <c r="H29" s="6">
        <v>137.0</v>
      </c>
      <c r="I29" s="6">
        <v>132.0</v>
      </c>
      <c r="J29" s="6">
        <v>127.0</v>
      </c>
      <c r="K29" s="6">
        <v>118.0</v>
      </c>
      <c r="L29" s="6">
        <v>97.0</v>
      </c>
      <c r="M29" s="6">
        <v>72.0</v>
      </c>
      <c r="N29" s="6">
        <v>52.0</v>
      </c>
      <c r="O29" s="6">
        <v>42.0</v>
      </c>
      <c r="P29" s="6">
        <v>33.0</v>
      </c>
      <c r="Q29" s="6">
        <v>26.0</v>
      </c>
      <c r="R29" s="6">
        <v>19.0</v>
      </c>
      <c r="S29" s="8"/>
      <c r="T29" s="8"/>
      <c r="U29" s="8"/>
      <c r="V29" s="9">
        <v>23.0</v>
      </c>
      <c r="W29" s="10"/>
      <c r="X29" s="10"/>
      <c r="Y29" s="11"/>
      <c r="Z29" s="5"/>
    </row>
    <row r="30">
      <c r="A30" s="1" t="s">
        <v>30</v>
      </c>
      <c r="B30" s="6">
        <v>130.0</v>
      </c>
      <c r="C30" s="6">
        <v>137.0</v>
      </c>
      <c r="D30" s="6">
        <v>141.0</v>
      </c>
      <c r="E30" s="6">
        <v>143.0</v>
      </c>
      <c r="F30" s="6">
        <v>143.0</v>
      </c>
      <c r="G30" s="6">
        <v>141.0</v>
      </c>
      <c r="H30" s="6">
        <v>140.0</v>
      </c>
      <c r="I30" s="6">
        <v>137.0</v>
      </c>
      <c r="J30" s="6">
        <v>130.0</v>
      </c>
      <c r="K30" s="6">
        <v>121.0</v>
      </c>
      <c r="L30" s="6">
        <v>96.0</v>
      </c>
      <c r="M30" s="6">
        <v>72.0</v>
      </c>
      <c r="N30" s="6">
        <v>53.0</v>
      </c>
      <c r="O30" s="6">
        <v>44.0</v>
      </c>
      <c r="P30" s="6">
        <v>36.0</v>
      </c>
      <c r="Q30" s="6">
        <v>29.0</v>
      </c>
      <c r="R30" s="6">
        <v>21.0</v>
      </c>
      <c r="S30" s="8"/>
      <c r="T30" s="8"/>
      <c r="U30" s="8"/>
      <c r="V30" s="9">
        <v>23.5</v>
      </c>
      <c r="W30" s="10"/>
      <c r="X30" s="10"/>
      <c r="Y30" s="11"/>
      <c r="Z30" s="5"/>
    </row>
    <row r="31">
      <c r="A31" s="1" t="s">
        <v>31</v>
      </c>
      <c r="B31" s="6">
        <v>131.0</v>
      </c>
      <c r="C31" s="6">
        <v>139.0</v>
      </c>
      <c r="D31" s="6">
        <v>142.0</v>
      </c>
      <c r="E31" s="6">
        <v>144.0</v>
      </c>
      <c r="F31" s="6">
        <v>144.0</v>
      </c>
      <c r="G31" s="6">
        <v>144.0</v>
      </c>
      <c r="H31" s="6">
        <v>142.0</v>
      </c>
      <c r="I31" s="6">
        <v>139.0</v>
      </c>
      <c r="J31" s="6">
        <v>135.0</v>
      </c>
      <c r="K31" s="6">
        <v>123.0</v>
      </c>
      <c r="L31" s="6">
        <v>100.0</v>
      </c>
      <c r="M31" s="6">
        <v>72.0</v>
      </c>
      <c r="N31" s="6">
        <v>56.0</v>
      </c>
      <c r="O31" s="6">
        <v>46.0</v>
      </c>
      <c r="P31" s="6">
        <v>39.0</v>
      </c>
      <c r="Q31" s="6">
        <v>32.0</v>
      </c>
      <c r="R31" s="6">
        <v>23.0</v>
      </c>
      <c r="S31" s="8"/>
      <c r="T31" s="8"/>
      <c r="U31" s="8"/>
      <c r="V31" s="9">
        <v>24.0</v>
      </c>
      <c r="W31" s="10"/>
      <c r="X31" s="10"/>
      <c r="Y31" s="11"/>
      <c r="Z31" s="5"/>
    </row>
    <row r="32">
      <c r="A32" s="1" t="s">
        <v>32</v>
      </c>
      <c r="B32" s="6">
        <v>134.0</v>
      </c>
      <c r="C32" s="6">
        <v>141.0</v>
      </c>
      <c r="D32" s="6">
        <v>144.0</v>
      </c>
      <c r="E32" s="6">
        <v>146.0</v>
      </c>
      <c r="F32" s="6">
        <v>146.0</v>
      </c>
      <c r="G32" s="6">
        <v>145.0</v>
      </c>
      <c r="H32" s="6">
        <v>145.0</v>
      </c>
      <c r="I32" s="6">
        <v>142.0</v>
      </c>
      <c r="J32" s="6">
        <v>136.0</v>
      </c>
      <c r="K32" s="6">
        <v>124.0</v>
      </c>
      <c r="L32" s="6">
        <v>101.0</v>
      </c>
      <c r="M32" s="6">
        <v>75.0</v>
      </c>
      <c r="N32" s="6">
        <v>58.0</v>
      </c>
      <c r="O32" s="6">
        <v>47.0</v>
      </c>
      <c r="P32" s="6">
        <v>39.0</v>
      </c>
      <c r="Q32" s="6">
        <v>32.0</v>
      </c>
      <c r="R32" s="6">
        <v>24.0</v>
      </c>
      <c r="S32" s="8"/>
      <c r="T32" s="8"/>
      <c r="U32" s="8"/>
      <c r="V32" s="9">
        <v>24.0</v>
      </c>
      <c r="W32" s="10"/>
      <c r="X32" s="10"/>
      <c r="Y32" s="11"/>
      <c r="Z32" s="5"/>
    </row>
    <row r="33">
      <c r="A33" s="1" t="s">
        <v>33</v>
      </c>
      <c r="B33" s="6">
        <v>133.0</v>
      </c>
      <c r="C33" s="6">
        <v>139.0</v>
      </c>
      <c r="D33" s="6">
        <v>145.0</v>
      </c>
      <c r="E33" s="6">
        <v>146.0</v>
      </c>
      <c r="F33" s="6">
        <v>146.0</v>
      </c>
      <c r="G33" s="6">
        <v>146.0</v>
      </c>
      <c r="H33" s="6">
        <v>144.0</v>
      </c>
      <c r="I33" s="6">
        <v>140.0</v>
      </c>
      <c r="J33" s="6">
        <v>134.0</v>
      </c>
      <c r="K33" s="6">
        <v>123.0</v>
      </c>
      <c r="L33" s="6">
        <v>100.0</v>
      </c>
      <c r="M33" s="6">
        <v>74.0</v>
      </c>
      <c r="N33" s="6">
        <v>58.0</v>
      </c>
      <c r="O33" s="6">
        <v>46.0</v>
      </c>
      <c r="P33" s="6">
        <v>40.0</v>
      </c>
      <c r="Q33" s="6">
        <v>32.0</v>
      </c>
      <c r="R33" s="6">
        <v>25.0</v>
      </c>
      <c r="S33" s="8"/>
      <c r="T33" s="8"/>
      <c r="U33" s="8"/>
      <c r="V33" s="12">
        <v>24.5</v>
      </c>
      <c r="W33" s="10"/>
      <c r="X33" s="10"/>
      <c r="Y33" s="11"/>
      <c r="Z33" s="5"/>
    </row>
    <row r="34">
      <c r="A34" s="1" t="s">
        <v>34</v>
      </c>
      <c r="B34" s="6">
        <v>135.0</v>
      </c>
      <c r="C34" s="6">
        <v>140.0</v>
      </c>
      <c r="D34" s="6">
        <v>147.0</v>
      </c>
      <c r="E34" s="6">
        <v>147.0</v>
      </c>
      <c r="F34" s="6">
        <v>147.0</v>
      </c>
      <c r="G34" s="6">
        <v>147.0</v>
      </c>
      <c r="H34" s="6">
        <v>144.0</v>
      </c>
      <c r="I34" s="6">
        <v>141.0</v>
      </c>
      <c r="J34" s="6">
        <v>135.0</v>
      </c>
      <c r="K34" s="6">
        <v>123.0</v>
      </c>
      <c r="L34" s="6">
        <v>100.0</v>
      </c>
      <c r="M34" s="6">
        <v>75.0</v>
      </c>
      <c r="N34" s="6">
        <v>59.0</v>
      </c>
      <c r="O34" s="6">
        <v>46.0</v>
      </c>
      <c r="P34" s="6">
        <v>32.0</v>
      </c>
      <c r="Q34" s="6">
        <v>32.0</v>
      </c>
      <c r="R34" s="6">
        <v>25.0</v>
      </c>
      <c r="S34" s="8"/>
      <c r="T34" s="8"/>
      <c r="U34" s="8"/>
      <c r="V34" s="12">
        <v>24.5</v>
      </c>
      <c r="W34" s="10"/>
      <c r="X34" s="10"/>
      <c r="Y34" s="11"/>
      <c r="Z34" s="5"/>
    </row>
    <row r="35">
      <c r="A35" s="1" t="s">
        <v>35</v>
      </c>
      <c r="B35" s="6">
        <v>137.0</v>
      </c>
      <c r="C35" s="6">
        <v>143.0</v>
      </c>
      <c r="D35" s="6">
        <v>145.0</v>
      </c>
      <c r="E35" s="6">
        <v>147.0</v>
      </c>
      <c r="F35" s="6">
        <v>149.0</v>
      </c>
      <c r="G35" s="6">
        <v>149.0</v>
      </c>
      <c r="H35" s="6">
        <v>146.0</v>
      </c>
      <c r="I35" s="6">
        <v>143.0</v>
      </c>
      <c r="J35" s="6">
        <v>137.0</v>
      </c>
      <c r="K35" s="6">
        <v>128.0</v>
      </c>
      <c r="L35" s="6">
        <v>107.0</v>
      </c>
      <c r="M35" s="6">
        <v>75.0</v>
      </c>
      <c r="N35" s="6">
        <v>60.0</v>
      </c>
      <c r="O35" s="6">
        <v>47.0</v>
      </c>
      <c r="P35" s="6">
        <v>41.0</v>
      </c>
      <c r="Q35" s="6">
        <v>34.0</v>
      </c>
      <c r="R35" s="6">
        <v>27.0</v>
      </c>
      <c r="S35" s="8"/>
      <c r="T35" s="8"/>
      <c r="U35" s="8"/>
      <c r="V35" s="9">
        <v>25.0</v>
      </c>
      <c r="W35" s="10"/>
      <c r="X35" s="10"/>
      <c r="Y35" s="11"/>
      <c r="Z35" s="5"/>
    </row>
    <row r="36">
      <c r="A36" s="1" t="s">
        <v>36</v>
      </c>
      <c r="B36" s="6">
        <v>137.0</v>
      </c>
      <c r="C36" s="6">
        <v>143.0</v>
      </c>
      <c r="D36" s="6">
        <v>145.0</v>
      </c>
      <c r="E36" s="6">
        <v>148.0</v>
      </c>
      <c r="F36" s="6">
        <v>149.0</v>
      </c>
      <c r="G36" s="6">
        <v>149.0</v>
      </c>
      <c r="H36" s="6">
        <v>147.0</v>
      </c>
      <c r="I36" s="6">
        <v>143.0</v>
      </c>
      <c r="J36" s="6">
        <v>138.0</v>
      </c>
      <c r="K36" s="6">
        <v>128.0</v>
      </c>
      <c r="L36" s="6">
        <v>110.0</v>
      </c>
      <c r="M36" s="6">
        <v>77.0</v>
      </c>
      <c r="N36" s="6">
        <v>65.0</v>
      </c>
      <c r="O36" s="6">
        <v>49.0</v>
      </c>
      <c r="P36" s="6">
        <v>41.0</v>
      </c>
      <c r="Q36" s="6">
        <v>34.0</v>
      </c>
      <c r="R36" s="6">
        <v>29.0</v>
      </c>
      <c r="S36" s="8"/>
      <c r="T36" s="8"/>
      <c r="U36" s="8"/>
      <c r="V36" s="9">
        <v>25.0</v>
      </c>
      <c r="W36" s="10"/>
      <c r="X36" s="10"/>
      <c r="Y36" s="11"/>
      <c r="Z36" s="5"/>
    </row>
    <row r="37">
      <c r="A37" s="1" t="s">
        <v>37</v>
      </c>
      <c r="B37" s="6">
        <v>135.0</v>
      </c>
      <c r="C37" s="6">
        <v>143.0</v>
      </c>
      <c r="D37" s="6">
        <v>145.0</v>
      </c>
      <c r="E37" s="6">
        <v>148.0</v>
      </c>
      <c r="F37" s="6">
        <v>149.0</v>
      </c>
      <c r="G37" s="6">
        <v>149.0</v>
      </c>
      <c r="H37" s="6">
        <v>147.0</v>
      </c>
      <c r="I37" s="6">
        <v>143.0</v>
      </c>
      <c r="J37" s="6">
        <v>138.0</v>
      </c>
      <c r="K37" s="6">
        <v>128.0</v>
      </c>
      <c r="L37" s="6">
        <v>110.0</v>
      </c>
      <c r="M37" s="6">
        <v>77.0</v>
      </c>
      <c r="N37" s="6">
        <v>65.0</v>
      </c>
      <c r="O37" s="6">
        <v>49.0</v>
      </c>
      <c r="P37" s="6">
        <v>41.0</v>
      </c>
      <c r="Q37" s="6">
        <v>34.0</v>
      </c>
      <c r="R37" s="6">
        <v>29.0</v>
      </c>
      <c r="S37" s="8"/>
      <c r="T37" s="8"/>
      <c r="U37" s="8"/>
      <c r="V37" s="9">
        <v>25.0</v>
      </c>
      <c r="W37" s="10"/>
      <c r="X37" s="10"/>
      <c r="Y37" s="11"/>
      <c r="Z37" s="5"/>
    </row>
    <row r="38">
      <c r="A38" s="1" t="s">
        <v>38</v>
      </c>
      <c r="B38" s="6">
        <v>124.0</v>
      </c>
      <c r="C38" s="6">
        <v>130.0</v>
      </c>
      <c r="D38" s="6">
        <v>137.0</v>
      </c>
      <c r="E38" s="6">
        <v>138.0</v>
      </c>
      <c r="F38" s="6">
        <v>139.0</v>
      </c>
      <c r="G38" s="6">
        <v>139.0</v>
      </c>
      <c r="H38" s="6">
        <v>138.0</v>
      </c>
      <c r="I38" s="6">
        <v>135.0</v>
      </c>
      <c r="J38" s="6">
        <v>132.0</v>
      </c>
      <c r="K38" s="6">
        <v>120.0</v>
      </c>
      <c r="L38" s="6">
        <v>99.0</v>
      </c>
      <c r="M38" s="6">
        <v>75.0</v>
      </c>
      <c r="N38" s="6">
        <v>60.0</v>
      </c>
      <c r="O38" s="6">
        <v>37.0</v>
      </c>
      <c r="P38" s="6">
        <v>30.0</v>
      </c>
      <c r="Q38" s="6">
        <v>30.0</v>
      </c>
      <c r="R38" s="6">
        <v>24.0</v>
      </c>
      <c r="S38" s="6">
        <v>15.0</v>
      </c>
      <c r="T38" s="6">
        <v>9.0</v>
      </c>
      <c r="U38" s="6">
        <v>5.0</v>
      </c>
      <c r="V38" s="9">
        <v>25.0</v>
      </c>
      <c r="W38" s="10"/>
      <c r="X38" s="10"/>
      <c r="Y38" s="11"/>
      <c r="Z38" s="5"/>
    </row>
    <row r="39">
      <c r="A39" s="1" t="s">
        <v>39</v>
      </c>
      <c r="B39" s="6">
        <v>83.0</v>
      </c>
      <c r="C39" s="6">
        <v>89.0</v>
      </c>
      <c r="D39" s="6">
        <v>95.0</v>
      </c>
      <c r="E39" s="6">
        <v>97.0</v>
      </c>
      <c r="F39" s="6">
        <v>101.0</v>
      </c>
      <c r="G39" s="6">
        <v>107.0</v>
      </c>
      <c r="H39" s="6">
        <v>110.0</v>
      </c>
      <c r="I39" s="6">
        <v>116.0</v>
      </c>
      <c r="J39" s="6">
        <v>119.0</v>
      </c>
      <c r="K39" s="6">
        <v>121.0</v>
      </c>
      <c r="L39" s="6">
        <v>121.0</v>
      </c>
      <c r="M39" s="6">
        <v>121.0</v>
      </c>
      <c r="N39" s="6">
        <v>121.0</v>
      </c>
      <c r="O39" s="6">
        <v>121.0</v>
      </c>
      <c r="P39" s="6">
        <v>115.0</v>
      </c>
      <c r="Q39" s="6">
        <v>95.0</v>
      </c>
      <c r="R39" s="6">
        <v>68.0</v>
      </c>
      <c r="S39" s="6">
        <v>52.0</v>
      </c>
      <c r="T39" s="6">
        <v>39.0</v>
      </c>
      <c r="U39" s="6">
        <v>32.0</v>
      </c>
      <c r="V39" s="9">
        <v>25.0</v>
      </c>
      <c r="W39" s="10"/>
      <c r="X39" s="10"/>
      <c r="Y39" s="11"/>
      <c r="Z39" s="5"/>
    </row>
    <row r="40">
      <c r="A40" s="1" t="s">
        <v>40</v>
      </c>
      <c r="B40" s="6">
        <v>60.0</v>
      </c>
      <c r="C40" s="6">
        <v>61.0</v>
      </c>
      <c r="D40" s="6">
        <v>61.0</v>
      </c>
      <c r="E40" s="6">
        <v>61.0</v>
      </c>
      <c r="F40" s="6">
        <v>61.0</v>
      </c>
      <c r="G40" s="6">
        <v>61.0</v>
      </c>
      <c r="H40" s="6">
        <v>61.0</v>
      </c>
      <c r="I40" s="6">
        <v>61.0</v>
      </c>
      <c r="J40" s="6">
        <v>61.0</v>
      </c>
      <c r="K40" s="6">
        <v>61.0</v>
      </c>
      <c r="L40" s="6">
        <v>61.0</v>
      </c>
      <c r="M40" s="6">
        <v>61.0</v>
      </c>
      <c r="N40" s="6">
        <v>61.0</v>
      </c>
      <c r="O40" s="6">
        <v>61.0</v>
      </c>
      <c r="P40" s="6">
        <v>61.0</v>
      </c>
      <c r="Q40" s="6">
        <v>61.0</v>
      </c>
      <c r="R40" s="6">
        <v>61.0</v>
      </c>
      <c r="S40" s="6">
        <v>61.0</v>
      </c>
      <c r="T40" s="6">
        <v>45.0</v>
      </c>
      <c r="U40" s="6">
        <v>39.0</v>
      </c>
      <c r="V40" s="12">
        <v>27.5</v>
      </c>
      <c r="W40" s="10"/>
      <c r="X40" s="10"/>
      <c r="Y40" s="11"/>
      <c r="Z40" s="5"/>
    </row>
    <row r="41">
      <c r="A41" s="1" t="s">
        <v>41</v>
      </c>
      <c r="B41" s="6">
        <v>95.0</v>
      </c>
      <c r="C41" s="6">
        <v>99.0</v>
      </c>
      <c r="D41" s="6">
        <v>102.0</v>
      </c>
      <c r="E41" s="6">
        <v>103.0</v>
      </c>
      <c r="F41" s="6">
        <v>104.0</v>
      </c>
      <c r="G41" s="6">
        <v>103.0</v>
      </c>
      <c r="H41" s="6">
        <v>102.0</v>
      </c>
      <c r="I41" s="6">
        <v>101.0</v>
      </c>
      <c r="J41" s="6">
        <v>100.0</v>
      </c>
      <c r="K41" s="6">
        <v>86.0</v>
      </c>
      <c r="L41" s="6">
        <v>64.0</v>
      </c>
      <c r="M41" s="6">
        <v>57.0</v>
      </c>
      <c r="N41" s="6">
        <v>45.0</v>
      </c>
      <c r="O41" s="6">
        <v>37.0</v>
      </c>
      <c r="P41" s="6">
        <v>27.0</v>
      </c>
      <c r="Q41" s="6">
        <v>24.0</v>
      </c>
      <c r="R41" s="6">
        <v>22.0</v>
      </c>
      <c r="S41" s="6">
        <v>18.0</v>
      </c>
      <c r="T41" s="6">
        <v>15.0</v>
      </c>
      <c r="U41" s="6">
        <v>13.0</v>
      </c>
      <c r="V41" s="9">
        <v>26.0</v>
      </c>
      <c r="W41" s="10"/>
      <c r="X41" s="10"/>
      <c r="Y41" s="11"/>
      <c r="Z41" s="5"/>
    </row>
    <row r="42">
      <c r="A42" s="1" t="s">
        <v>42</v>
      </c>
      <c r="B42" s="6">
        <v>124.0</v>
      </c>
      <c r="C42" s="6">
        <v>129.0</v>
      </c>
      <c r="D42" s="6">
        <v>132.0</v>
      </c>
      <c r="E42" s="6">
        <v>134.0</v>
      </c>
      <c r="F42" s="6">
        <v>135.0</v>
      </c>
      <c r="G42" s="6">
        <v>135.0</v>
      </c>
      <c r="H42" s="6">
        <v>134.0</v>
      </c>
      <c r="I42" s="6">
        <v>131.0</v>
      </c>
      <c r="J42" s="6">
        <v>130.0</v>
      </c>
      <c r="K42" s="6">
        <v>115.0</v>
      </c>
      <c r="L42" s="6">
        <v>89.0</v>
      </c>
      <c r="M42" s="6">
        <v>63.0</v>
      </c>
      <c r="N42" s="6">
        <v>48.0</v>
      </c>
      <c r="O42" s="6">
        <v>39.0</v>
      </c>
      <c r="P42" s="6">
        <v>29.0</v>
      </c>
      <c r="Q42" s="8"/>
      <c r="R42" s="8"/>
      <c r="S42" s="8"/>
      <c r="T42" s="8"/>
      <c r="U42" s="8"/>
      <c r="V42" s="9">
        <v>19.0</v>
      </c>
      <c r="W42" s="10"/>
      <c r="X42" s="10"/>
      <c r="Y42" s="11"/>
      <c r="Z42" s="5"/>
    </row>
    <row r="43">
      <c r="A43" s="1" t="s">
        <v>43</v>
      </c>
      <c r="B43" s="6">
        <v>54.0</v>
      </c>
      <c r="C43" s="6">
        <v>56.0</v>
      </c>
      <c r="D43" s="6">
        <v>56.0</v>
      </c>
      <c r="E43" s="6">
        <v>56.0</v>
      </c>
      <c r="F43" s="6">
        <v>56.0</v>
      </c>
      <c r="G43" s="6">
        <v>56.0</v>
      </c>
      <c r="H43" s="6">
        <v>56.0</v>
      </c>
      <c r="I43" s="6">
        <v>56.0</v>
      </c>
      <c r="J43" s="6">
        <v>56.0</v>
      </c>
      <c r="K43" s="6">
        <v>56.0</v>
      </c>
      <c r="L43" s="6">
        <v>56.0</v>
      </c>
      <c r="M43" s="6">
        <v>56.0</v>
      </c>
      <c r="N43" s="6">
        <v>56.0</v>
      </c>
      <c r="O43" s="6">
        <v>56.0</v>
      </c>
      <c r="P43" s="6">
        <v>56.0</v>
      </c>
      <c r="Q43" s="8"/>
      <c r="R43" s="8"/>
      <c r="S43" s="8"/>
      <c r="T43" s="8"/>
      <c r="U43" s="8"/>
      <c r="V43" s="9">
        <v>22.0</v>
      </c>
      <c r="W43" s="10"/>
      <c r="X43" s="10"/>
      <c r="Y43" s="11"/>
      <c r="Z43" s="5"/>
    </row>
    <row r="44">
      <c r="A44" s="1" t="s">
        <v>44</v>
      </c>
      <c r="B44" s="6">
        <v>38.0</v>
      </c>
      <c r="C44" s="6">
        <v>40.0</v>
      </c>
      <c r="D44" s="6">
        <v>40.0</v>
      </c>
      <c r="E44" s="6">
        <v>40.0</v>
      </c>
      <c r="F44" s="6">
        <v>40.0</v>
      </c>
      <c r="G44" s="6">
        <v>40.0</v>
      </c>
      <c r="H44" s="6">
        <v>40.0</v>
      </c>
      <c r="I44" s="6">
        <v>39.0</v>
      </c>
      <c r="J44" s="6">
        <v>39.0</v>
      </c>
      <c r="K44" s="6">
        <v>39.0</v>
      </c>
      <c r="L44" s="6">
        <v>39.0</v>
      </c>
      <c r="M44" s="6">
        <v>39.0</v>
      </c>
      <c r="N44" s="6">
        <v>39.0</v>
      </c>
      <c r="O44" s="6">
        <v>39.0</v>
      </c>
      <c r="P44" s="6">
        <v>39.0</v>
      </c>
      <c r="Q44" s="6">
        <v>39.0</v>
      </c>
      <c r="R44" s="6">
        <v>39.0</v>
      </c>
      <c r="S44" s="6">
        <v>37.0</v>
      </c>
      <c r="T44" s="6">
        <v>35.0</v>
      </c>
      <c r="U44" s="6">
        <v>32.0</v>
      </c>
      <c r="V44" s="12">
        <v>27.5</v>
      </c>
      <c r="W44" s="10"/>
      <c r="X44" s="10"/>
      <c r="Y44" s="11"/>
      <c r="Z44" s="5"/>
    </row>
    <row r="45">
      <c r="A45" s="1" t="s">
        <v>45</v>
      </c>
      <c r="B45" s="6">
        <v>122.0</v>
      </c>
      <c r="C45" s="6">
        <v>125.0</v>
      </c>
      <c r="D45" s="6">
        <v>134.0</v>
      </c>
      <c r="E45" s="6">
        <v>140.0</v>
      </c>
      <c r="F45" s="6">
        <v>140.0</v>
      </c>
      <c r="G45" s="6">
        <v>141.0</v>
      </c>
      <c r="H45" s="6">
        <v>140.0</v>
      </c>
      <c r="I45" s="6">
        <v>140.0</v>
      </c>
      <c r="J45" s="6">
        <v>138.0</v>
      </c>
      <c r="K45" s="6">
        <v>134.0</v>
      </c>
      <c r="L45" s="6">
        <v>118.0</v>
      </c>
      <c r="M45" s="6">
        <v>94.0</v>
      </c>
      <c r="N45" s="6">
        <v>71.0</v>
      </c>
      <c r="O45" s="6">
        <v>56.0</v>
      </c>
      <c r="P45" s="6">
        <v>47.0</v>
      </c>
      <c r="Q45" s="6">
        <v>40.0</v>
      </c>
      <c r="R45" s="6">
        <v>35.0</v>
      </c>
      <c r="S45" s="6">
        <v>29.0</v>
      </c>
      <c r="T45" s="6">
        <v>24.0</v>
      </c>
      <c r="U45" s="6">
        <v>16.0</v>
      </c>
      <c r="V45" s="9">
        <v>24.0</v>
      </c>
      <c r="W45" s="10"/>
      <c r="X45" s="10"/>
      <c r="Y45" s="11"/>
      <c r="Z45" s="5"/>
    </row>
    <row r="46">
      <c r="A46" s="1" t="s">
        <v>46</v>
      </c>
      <c r="B46" s="6">
        <v>86.0</v>
      </c>
      <c r="C46" s="6">
        <v>94.0</v>
      </c>
      <c r="D46" s="6">
        <v>99.0</v>
      </c>
      <c r="E46" s="6">
        <v>102.0</v>
      </c>
      <c r="F46" s="6">
        <v>103.0</v>
      </c>
      <c r="G46" s="6">
        <v>103.0</v>
      </c>
      <c r="H46" s="6">
        <v>102.0</v>
      </c>
      <c r="I46" s="6">
        <v>101.0</v>
      </c>
      <c r="J46" s="6">
        <v>97.0</v>
      </c>
      <c r="K46" s="6">
        <v>87.0</v>
      </c>
      <c r="L46" s="6">
        <v>67.0</v>
      </c>
      <c r="M46" s="6">
        <v>43.0</v>
      </c>
      <c r="N46" s="6">
        <v>26.0</v>
      </c>
      <c r="O46" s="6">
        <v>20.0</v>
      </c>
      <c r="P46" s="6">
        <v>14.0</v>
      </c>
      <c r="Q46" s="6">
        <v>8.0</v>
      </c>
      <c r="R46" s="6">
        <v>6.0</v>
      </c>
      <c r="S46" s="6">
        <v>0.0</v>
      </c>
      <c r="T46" s="6">
        <v>-5.0</v>
      </c>
      <c r="U46" s="6">
        <v>-8.0</v>
      </c>
      <c r="V46" s="9">
        <v>26.0</v>
      </c>
      <c r="W46" s="10"/>
      <c r="X46" s="10"/>
      <c r="Y46" s="11"/>
      <c r="Z46" s="5"/>
    </row>
    <row r="47">
      <c r="A47" s="1" t="s">
        <v>47</v>
      </c>
      <c r="B47" s="6">
        <v>148.0</v>
      </c>
      <c r="C47" s="6">
        <v>155.0</v>
      </c>
      <c r="D47" s="6">
        <v>164.0</v>
      </c>
      <c r="E47" s="6">
        <v>71.0</v>
      </c>
      <c r="F47" s="6">
        <v>176.0</v>
      </c>
      <c r="G47" s="6">
        <v>182.0</v>
      </c>
      <c r="H47" s="6">
        <v>189.0</v>
      </c>
      <c r="I47" s="6">
        <v>195.0</v>
      </c>
      <c r="J47" s="6">
        <v>202.0</v>
      </c>
      <c r="K47" s="6">
        <v>210.0</v>
      </c>
      <c r="L47" s="6">
        <v>216.0</v>
      </c>
      <c r="M47" s="6">
        <v>222.0</v>
      </c>
      <c r="N47" s="6">
        <v>224.0</v>
      </c>
      <c r="O47" s="6">
        <v>220.0</v>
      </c>
      <c r="P47" s="6">
        <v>210.0</v>
      </c>
      <c r="Q47" s="8"/>
      <c r="R47" s="8"/>
      <c r="S47" s="8"/>
      <c r="T47" s="8"/>
      <c r="U47" s="8"/>
      <c r="V47" s="9">
        <v>20.0</v>
      </c>
      <c r="W47" s="10"/>
      <c r="X47" s="10"/>
      <c r="Y47" s="11"/>
      <c r="Z47" s="5"/>
    </row>
    <row r="48">
      <c r="A48" s="1" t="s">
        <v>48</v>
      </c>
      <c r="B48" s="6">
        <v>135.0</v>
      </c>
      <c r="C48" s="6">
        <v>161.0</v>
      </c>
      <c r="D48" s="6">
        <v>183.0</v>
      </c>
      <c r="E48" s="6">
        <v>187.0</v>
      </c>
      <c r="F48" s="6">
        <v>188.0</v>
      </c>
      <c r="G48" s="6">
        <v>189.0</v>
      </c>
      <c r="H48" s="6">
        <v>189.0</v>
      </c>
      <c r="I48" s="6">
        <v>189.0</v>
      </c>
      <c r="J48" s="6">
        <v>189.0</v>
      </c>
      <c r="K48" s="6">
        <v>185.0</v>
      </c>
      <c r="L48" s="6">
        <v>183.0</v>
      </c>
      <c r="M48" s="6">
        <v>161.0</v>
      </c>
      <c r="N48" s="6">
        <v>135.0</v>
      </c>
      <c r="O48" s="6">
        <v>121.0</v>
      </c>
      <c r="P48" s="6">
        <v>114.0</v>
      </c>
      <c r="Q48" s="8"/>
      <c r="R48" s="8"/>
      <c r="S48" s="8"/>
      <c r="T48" s="8"/>
      <c r="U48" s="8"/>
      <c r="V48" s="9">
        <v>20.0</v>
      </c>
      <c r="W48" s="10"/>
      <c r="X48" s="10"/>
      <c r="Y48" s="11"/>
      <c r="Z48" s="5"/>
    </row>
    <row r="49">
      <c r="A49" s="1" t="s">
        <v>49</v>
      </c>
      <c r="B49" s="6">
        <v>139.0</v>
      </c>
      <c r="C49" s="6">
        <v>168.0</v>
      </c>
      <c r="D49" s="6">
        <v>192.0</v>
      </c>
      <c r="E49" s="6">
        <v>194.0</v>
      </c>
      <c r="F49" s="6">
        <v>198.0</v>
      </c>
      <c r="G49" s="6">
        <v>198.0</v>
      </c>
      <c r="H49" s="6">
        <v>198.0</v>
      </c>
      <c r="I49" s="6">
        <v>198.0</v>
      </c>
      <c r="J49" s="6">
        <v>196.0</v>
      </c>
      <c r="K49" s="6">
        <v>193.0</v>
      </c>
      <c r="L49" s="6">
        <v>190.0</v>
      </c>
      <c r="M49" s="6">
        <v>169.0</v>
      </c>
      <c r="N49" s="6">
        <v>140.0</v>
      </c>
      <c r="O49" s="6">
        <v>126.0</v>
      </c>
      <c r="P49" s="6">
        <v>118.0</v>
      </c>
      <c r="Q49" s="8"/>
      <c r="R49" s="8"/>
      <c r="S49" s="8"/>
      <c r="T49" s="8"/>
      <c r="U49" s="8"/>
      <c r="V49" s="9">
        <v>20.0</v>
      </c>
      <c r="W49" s="10"/>
      <c r="X49" s="10"/>
      <c r="Y49" s="11"/>
      <c r="Z49" s="5"/>
    </row>
    <row r="50">
      <c r="A50" s="1" t="s">
        <v>50</v>
      </c>
      <c r="B50" s="6">
        <v>143.0</v>
      </c>
      <c r="C50" s="6">
        <v>171.0</v>
      </c>
      <c r="D50" s="6">
        <v>194.0</v>
      </c>
      <c r="E50" s="6">
        <v>198.0</v>
      </c>
      <c r="F50" s="6">
        <v>201.0</v>
      </c>
      <c r="G50" s="6">
        <v>201.0</v>
      </c>
      <c r="H50" s="6">
        <v>201.0</v>
      </c>
      <c r="I50" s="6">
        <v>201.0</v>
      </c>
      <c r="J50" s="6">
        <v>201.0</v>
      </c>
      <c r="K50" s="6">
        <v>196.0</v>
      </c>
      <c r="L50" s="6">
        <v>193.0</v>
      </c>
      <c r="M50" s="6">
        <v>171.0</v>
      </c>
      <c r="N50" s="6">
        <v>143.0</v>
      </c>
      <c r="O50" s="6">
        <v>131.0</v>
      </c>
      <c r="P50" s="6">
        <v>122.0</v>
      </c>
      <c r="Q50" s="8"/>
      <c r="R50" s="8"/>
      <c r="S50" s="8"/>
      <c r="T50" s="8"/>
      <c r="U50" s="8"/>
      <c r="V50" s="9">
        <v>20.0</v>
      </c>
      <c r="W50" s="10"/>
      <c r="X50" s="10"/>
      <c r="Y50" s="11"/>
      <c r="Z50" s="5"/>
    </row>
    <row r="51">
      <c r="A51" s="1" t="s">
        <v>51</v>
      </c>
      <c r="B51" s="6">
        <v>146.0</v>
      </c>
      <c r="C51" s="6">
        <v>176.0</v>
      </c>
      <c r="D51" s="6">
        <v>198.0</v>
      </c>
      <c r="E51" s="6">
        <v>202.0</v>
      </c>
      <c r="F51" s="6">
        <v>207.0</v>
      </c>
      <c r="G51" s="6">
        <v>207.0</v>
      </c>
      <c r="H51" s="6">
        <v>207.0</v>
      </c>
      <c r="I51" s="6">
        <v>207.0</v>
      </c>
      <c r="J51" s="6">
        <v>207.0</v>
      </c>
      <c r="K51" s="6">
        <v>201.0</v>
      </c>
      <c r="L51" s="6">
        <v>198.0</v>
      </c>
      <c r="M51" s="6">
        <v>176.0</v>
      </c>
      <c r="N51" s="6">
        <v>146.0</v>
      </c>
      <c r="O51" s="6">
        <v>132.0</v>
      </c>
      <c r="P51" s="6">
        <v>121.0</v>
      </c>
      <c r="Q51" s="8"/>
      <c r="R51" s="8"/>
      <c r="S51" s="8"/>
      <c r="T51" s="8"/>
      <c r="U51" s="8"/>
      <c r="V51" s="9">
        <v>20.0</v>
      </c>
      <c r="W51" s="10"/>
      <c r="X51" s="10"/>
      <c r="Y51" s="11"/>
      <c r="Z51" s="5"/>
    </row>
    <row r="52">
      <c r="A52" s="1" t="s">
        <v>52</v>
      </c>
      <c r="B52" s="6">
        <v>150.0</v>
      </c>
      <c r="C52" s="6">
        <v>179.0</v>
      </c>
      <c r="D52" s="6">
        <v>203.0</v>
      </c>
      <c r="E52" s="6">
        <v>207.0</v>
      </c>
      <c r="F52" s="6">
        <v>210.0</v>
      </c>
      <c r="G52" s="6">
        <v>210.0</v>
      </c>
      <c r="H52" s="6">
        <v>210.0</v>
      </c>
      <c r="I52" s="6">
        <v>210.0</v>
      </c>
      <c r="J52" s="6">
        <v>210.0</v>
      </c>
      <c r="K52" s="6">
        <v>206.0</v>
      </c>
      <c r="L52" s="6">
        <v>203.0</v>
      </c>
      <c r="M52" s="6">
        <v>179.0</v>
      </c>
      <c r="N52" s="6">
        <v>150.0</v>
      </c>
      <c r="O52" s="6">
        <v>136.0</v>
      </c>
      <c r="P52" s="6">
        <v>129.0</v>
      </c>
      <c r="Q52" s="8"/>
      <c r="R52" s="8"/>
      <c r="S52" s="8"/>
      <c r="T52" s="8"/>
      <c r="U52" s="8"/>
      <c r="V52" s="9">
        <v>20.0</v>
      </c>
      <c r="W52" s="10"/>
      <c r="X52" s="10"/>
      <c r="Y52" s="11"/>
      <c r="Z52" s="5"/>
    </row>
    <row r="53">
      <c r="A53" s="1" t="s">
        <v>53</v>
      </c>
      <c r="B53" s="6">
        <v>150.0</v>
      </c>
      <c r="C53" s="6">
        <v>180.0</v>
      </c>
      <c r="D53" s="6">
        <v>203.0</v>
      </c>
      <c r="E53" s="6">
        <v>207.0</v>
      </c>
      <c r="F53" s="6">
        <v>211.0</v>
      </c>
      <c r="G53" s="6">
        <v>211.0</v>
      </c>
      <c r="H53" s="6">
        <v>211.0</v>
      </c>
      <c r="I53" s="6">
        <v>211.0</v>
      </c>
      <c r="J53" s="6">
        <v>211.0</v>
      </c>
      <c r="K53" s="6">
        <v>206.0</v>
      </c>
      <c r="L53" s="6">
        <v>203.0</v>
      </c>
      <c r="M53" s="6">
        <v>180.0</v>
      </c>
      <c r="N53" s="6">
        <v>150.0</v>
      </c>
      <c r="O53" s="6">
        <v>136.0</v>
      </c>
      <c r="P53" s="6">
        <v>129.0</v>
      </c>
      <c r="Q53" s="8"/>
      <c r="R53" s="8"/>
      <c r="S53" s="8"/>
      <c r="T53" s="8"/>
      <c r="U53" s="8"/>
      <c r="V53" s="9">
        <v>20.0</v>
      </c>
      <c r="W53" s="10"/>
      <c r="X53" s="10"/>
      <c r="Y53" s="11"/>
      <c r="Z53" s="5"/>
    </row>
    <row r="54">
      <c r="A54" s="1" t="s">
        <v>54</v>
      </c>
      <c r="B54" s="6">
        <v>151.0</v>
      </c>
      <c r="C54" s="6">
        <v>182.0</v>
      </c>
      <c r="D54" s="6">
        <v>205.0</v>
      </c>
      <c r="E54" s="6">
        <v>210.0</v>
      </c>
      <c r="F54" s="6">
        <v>214.0</v>
      </c>
      <c r="G54" s="6">
        <v>214.0</v>
      </c>
      <c r="H54" s="6">
        <v>214.0</v>
      </c>
      <c r="I54" s="6">
        <v>214.0</v>
      </c>
      <c r="J54" s="6">
        <v>214.0</v>
      </c>
      <c r="K54" s="6">
        <v>209.0</v>
      </c>
      <c r="L54" s="6">
        <v>206.0</v>
      </c>
      <c r="M54" s="6">
        <v>182.0</v>
      </c>
      <c r="N54" s="6">
        <v>151.0</v>
      </c>
      <c r="O54" s="6">
        <v>138.0</v>
      </c>
      <c r="P54" s="6">
        <v>128.0</v>
      </c>
      <c r="Q54" s="8"/>
      <c r="R54" s="8"/>
      <c r="S54" s="8"/>
      <c r="T54" s="8"/>
      <c r="U54" s="8"/>
      <c r="V54" s="9">
        <v>20.0</v>
      </c>
      <c r="W54" s="10"/>
      <c r="X54" s="10"/>
      <c r="Y54" s="11"/>
      <c r="Z54" s="5"/>
    </row>
    <row r="55">
      <c r="A55" s="1" t="s">
        <v>55</v>
      </c>
      <c r="B55" s="6">
        <v>153.0</v>
      </c>
      <c r="C55" s="6">
        <v>184.0</v>
      </c>
      <c r="D55" s="6">
        <v>207.0</v>
      </c>
      <c r="E55" s="6">
        <v>211.0</v>
      </c>
      <c r="F55" s="6">
        <v>215.0</v>
      </c>
      <c r="G55" s="6">
        <v>215.0</v>
      </c>
      <c r="H55" s="6">
        <v>215.0</v>
      </c>
      <c r="I55" s="6">
        <v>215.0</v>
      </c>
      <c r="J55" s="6">
        <v>215.0</v>
      </c>
      <c r="K55" s="6">
        <v>210.0</v>
      </c>
      <c r="L55" s="6">
        <v>207.0</v>
      </c>
      <c r="M55" s="6">
        <v>184.0</v>
      </c>
      <c r="N55" s="6">
        <v>153.0</v>
      </c>
      <c r="O55" s="6">
        <v>138.0</v>
      </c>
      <c r="P55" s="6">
        <v>129.0</v>
      </c>
      <c r="Q55" s="8"/>
      <c r="R55" s="8"/>
      <c r="S55" s="8"/>
      <c r="T55" s="8"/>
      <c r="U55" s="8"/>
      <c r="V55" s="9">
        <v>20.0</v>
      </c>
      <c r="W55" s="10"/>
      <c r="X55" s="10"/>
      <c r="Y55" s="11"/>
      <c r="Z55" s="5"/>
    </row>
    <row r="56">
      <c r="A56" s="1" t="s">
        <v>56</v>
      </c>
      <c r="B56" s="6">
        <v>156.0</v>
      </c>
      <c r="C56" s="6">
        <v>185.0</v>
      </c>
      <c r="D56" s="6">
        <v>209.0</v>
      </c>
      <c r="E56" s="6">
        <v>213.0</v>
      </c>
      <c r="F56" s="6">
        <v>216.0</v>
      </c>
      <c r="G56" s="6">
        <v>216.0</v>
      </c>
      <c r="H56" s="6">
        <v>216.0</v>
      </c>
      <c r="I56" s="6">
        <v>216.0</v>
      </c>
      <c r="J56" s="6">
        <v>216.0</v>
      </c>
      <c r="K56" s="6">
        <v>212.0</v>
      </c>
      <c r="L56" s="6">
        <v>209.0</v>
      </c>
      <c r="M56" s="6">
        <v>185.0</v>
      </c>
      <c r="N56" s="6">
        <v>155.0</v>
      </c>
      <c r="O56" s="6">
        <v>139.0</v>
      </c>
      <c r="P56" s="6">
        <v>129.0</v>
      </c>
      <c r="Q56" s="8"/>
      <c r="R56" s="8"/>
      <c r="S56" s="8"/>
      <c r="T56" s="8"/>
      <c r="U56" s="8"/>
      <c r="V56" s="9">
        <v>20.0</v>
      </c>
      <c r="W56" s="10"/>
      <c r="X56" s="10"/>
      <c r="Y56" s="11"/>
      <c r="Z56" s="5"/>
    </row>
    <row r="57">
      <c r="A57" s="1" t="s">
        <v>57</v>
      </c>
      <c r="B57" s="6">
        <v>155.0</v>
      </c>
      <c r="C57" s="6">
        <v>184.0</v>
      </c>
      <c r="D57" s="6">
        <v>209.0</v>
      </c>
      <c r="E57" s="6">
        <v>213.0</v>
      </c>
      <c r="F57" s="6">
        <v>216.0</v>
      </c>
      <c r="G57" s="6">
        <v>216.0</v>
      </c>
      <c r="H57" s="6">
        <v>217.0</v>
      </c>
      <c r="I57" s="6">
        <v>217.0</v>
      </c>
      <c r="J57" s="6">
        <v>216.0</v>
      </c>
      <c r="K57" s="6">
        <v>211.0</v>
      </c>
      <c r="L57" s="6">
        <v>208.0</v>
      </c>
      <c r="M57" s="6">
        <v>184.0</v>
      </c>
      <c r="N57" s="6">
        <v>154.0</v>
      </c>
      <c r="O57" s="6">
        <v>138.0</v>
      </c>
      <c r="P57" s="6">
        <v>129.0</v>
      </c>
      <c r="Q57" s="8"/>
      <c r="R57" s="8"/>
      <c r="S57" s="8"/>
      <c r="T57" s="8"/>
      <c r="U57" s="8"/>
      <c r="V57" s="9">
        <v>20.0</v>
      </c>
      <c r="W57" s="10"/>
      <c r="X57" s="10"/>
      <c r="Y57" s="11"/>
      <c r="Z57" s="5"/>
    </row>
    <row r="58">
      <c r="A58" s="1" t="s">
        <v>58</v>
      </c>
      <c r="B58" s="6">
        <v>155.0</v>
      </c>
      <c r="C58" s="6">
        <v>184.0</v>
      </c>
      <c r="D58" s="6">
        <v>209.0</v>
      </c>
      <c r="E58" s="6">
        <v>213.0</v>
      </c>
      <c r="F58" s="6">
        <v>216.0</v>
      </c>
      <c r="G58" s="6">
        <v>216.0</v>
      </c>
      <c r="H58" s="6">
        <v>217.0</v>
      </c>
      <c r="I58" s="6">
        <v>217.0</v>
      </c>
      <c r="J58" s="6">
        <v>216.0</v>
      </c>
      <c r="K58" s="6">
        <v>211.0</v>
      </c>
      <c r="L58" s="6">
        <v>208.0</v>
      </c>
      <c r="M58" s="6">
        <v>184.0</v>
      </c>
      <c r="N58" s="6">
        <v>154.0</v>
      </c>
      <c r="O58" s="6">
        <v>138.0</v>
      </c>
      <c r="P58" s="6">
        <v>129.0</v>
      </c>
      <c r="Q58" s="8"/>
      <c r="R58" s="8"/>
      <c r="S58" s="8"/>
      <c r="T58" s="8"/>
      <c r="U58" s="8"/>
      <c r="V58" s="9">
        <v>20.0</v>
      </c>
      <c r="W58" s="10"/>
      <c r="X58" s="10"/>
      <c r="Y58" s="11"/>
      <c r="Z58" s="5"/>
    </row>
    <row r="59">
      <c r="A59" s="1" t="s">
        <v>59</v>
      </c>
      <c r="B59" s="6">
        <v>155.0</v>
      </c>
      <c r="C59" s="6">
        <v>184.0</v>
      </c>
      <c r="D59" s="6">
        <v>209.0</v>
      </c>
      <c r="E59" s="6">
        <v>213.0</v>
      </c>
      <c r="F59" s="6">
        <v>216.0</v>
      </c>
      <c r="G59" s="6">
        <v>216.0</v>
      </c>
      <c r="H59" s="6">
        <v>217.0</v>
      </c>
      <c r="I59" s="6">
        <v>217.0</v>
      </c>
      <c r="J59" s="6">
        <v>216.0</v>
      </c>
      <c r="K59" s="6">
        <v>211.0</v>
      </c>
      <c r="L59" s="6">
        <v>208.0</v>
      </c>
      <c r="M59" s="6">
        <v>184.0</v>
      </c>
      <c r="N59" s="6">
        <v>154.0</v>
      </c>
      <c r="O59" s="6">
        <v>138.0</v>
      </c>
      <c r="P59" s="6">
        <v>129.0</v>
      </c>
      <c r="Q59" s="8"/>
      <c r="R59" s="8"/>
      <c r="S59" s="8"/>
      <c r="T59" s="8"/>
      <c r="U59" s="8"/>
      <c r="V59" s="9">
        <v>20.0</v>
      </c>
      <c r="W59" s="10"/>
      <c r="X59" s="10"/>
      <c r="Y59" s="11"/>
      <c r="Z59" s="5"/>
    </row>
    <row r="60">
      <c r="A60" s="1" t="s">
        <v>60</v>
      </c>
      <c r="B60" s="6">
        <v>154.0</v>
      </c>
      <c r="C60" s="6">
        <v>184.0</v>
      </c>
      <c r="D60" s="6">
        <v>208.0</v>
      </c>
      <c r="E60" s="6">
        <v>213.0</v>
      </c>
      <c r="F60" s="6">
        <v>216.0</v>
      </c>
      <c r="G60" s="6">
        <v>216.0</v>
      </c>
      <c r="H60" s="6">
        <v>217.0</v>
      </c>
      <c r="I60" s="6">
        <v>217.0</v>
      </c>
      <c r="J60" s="6">
        <v>216.0</v>
      </c>
      <c r="K60" s="6">
        <v>211.0</v>
      </c>
      <c r="L60" s="6">
        <v>208.0</v>
      </c>
      <c r="M60" s="6">
        <v>185.0</v>
      </c>
      <c r="N60" s="6">
        <v>153.0</v>
      </c>
      <c r="O60" s="6">
        <v>140.0</v>
      </c>
      <c r="P60" s="6">
        <v>130.0</v>
      </c>
      <c r="Q60" s="8"/>
      <c r="R60" s="8"/>
      <c r="S60" s="8"/>
      <c r="T60" s="8"/>
      <c r="U60" s="8"/>
      <c r="V60" s="9">
        <v>20.0</v>
      </c>
      <c r="W60" s="10"/>
      <c r="X60" s="10"/>
      <c r="Y60" s="11"/>
      <c r="Z60" s="5"/>
    </row>
    <row r="61">
      <c r="A61" s="1" t="s">
        <v>61</v>
      </c>
      <c r="B61" s="6">
        <v>154.0</v>
      </c>
      <c r="C61" s="6">
        <v>184.0</v>
      </c>
      <c r="D61" s="6">
        <v>208.0</v>
      </c>
      <c r="E61" s="6">
        <v>213.0</v>
      </c>
      <c r="F61" s="6">
        <v>216.0</v>
      </c>
      <c r="G61" s="6">
        <v>216.0</v>
      </c>
      <c r="H61" s="6">
        <v>216.0</v>
      </c>
      <c r="I61" s="6">
        <v>216.0</v>
      </c>
      <c r="J61" s="6">
        <v>216.0</v>
      </c>
      <c r="K61" s="6">
        <v>211.0</v>
      </c>
      <c r="L61" s="6">
        <v>208.0</v>
      </c>
      <c r="M61" s="6">
        <v>185.0</v>
      </c>
      <c r="N61" s="6">
        <v>154.0</v>
      </c>
      <c r="O61" s="6">
        <v>138.0</v>
      </c>
      <c r="P61" s="6">
        <v>130.0</v>
      </c>
      <c r="Q61" s="8"/>
      <c r="R61" s="8"/>
      <c r="S61" s="8"/>
      <c r="T61" s="8"/>
      <c r="U61" s="8"/>
      <c r="V61" s="9">
        <v>20.0</v>
      </c>
      <c r="W61" s="10"/>
      <c r="X61" s="10"/>
      <c r="Y61" s="11"/>
      <c r="Z61" s="5"/>
    </row>
    <row r="62">
      <c r="A62" s="1" t="s">
        <v>62</v>
      </c>
      <c r="B62" s="6">
        <v>155.0</v>
      </c>
      <c r="C62" s="6">
        <v>184.0</v>
      </c>
      <c r="D62" s="6">
        <v>209.0</v>
      </c>
      <c r="E62" s="6">
        <v>213.0</v>
      </c>
      <c r="F62" s="6">
        <v>216.0</v>
      </c>
      <c r="G62" s="6">
        <v>216.0</v>
      </c>
      <c r="H62" s="6">
        <v>216.0</v>
      </c>
      <c r="I62" s="6">
        <v>216.0</v>
      </c>
      <c r="J62" s="6">
        <v>215.0</v>
      </c>
      <c r="K62" s="6">
        <v>211.0</v>
      </c>
      <c r="L62" s="6">
        <v>209.0</v>
      </c>
      <c r="M62" s="6">
        <v>184.0</v>
      </c>
      <c r="N62" s="6">
        <v>154.0</v>
      </c>
      <c r="O62" s="6">
        <v>140.0</v>
      </c>
      <c r="P62" s="6">
        <v>129.0</v>
      </c>
      <c r="Q62" s="8"/>
      <c r="R62" s="8"/>
      <c r="S62" s="8"/>
      <c r="T62" s="8"/>
      <c r="U62" s="8"/>
      <c r="V62" s="9">
        <v>20.0</v>
      </c>
      <c r="W62" s="10"/>
      <c r="X62" s="10"/>
      <c r="Y62" s="11"/>
      <c r="Z62" s="5"/>
    </row>
    <row r="63">
      <c r="A63" s="1" t="s">
        <v>63</v>
      </c>
      <c r="B63" s="6">
        <v>155.0</v>
      </c>
      <c r="C63" s="6">
        <v>184.0</v>
      </c>
      <c r="D63" s="6">
        <v>209.0</v>
      </c>
      <c r="E63" s="6">
        <v>213.0</v>
      </c>
      <c r="F63" s="6">
        <v>216.0</v>
      </c>
      <c r="G63" s="6">
        <v>216.0</v>
      </c>
      <c r="H63" s="6">
        <v>216.0</v>
      </c>
      <c r="I63" s="6">
        <v>216.0</v>
      </c>
      <c r="J63" s="6">
        <v>215.0</v>
      </c>
      <c r="K63" s="6">
        <v>211.0</v>
      </c>
      <c r="L63" s="6">
        <v>209.0</v>
      </c>
      <c r="M63" s="6">
        <v>184.0</v>
      </c>
      <c r="N63" s="6">
        <v>154.0</v>
      </c>
      <c r="O63" s="6">
        <v>140.0</v>
      </c>
      <c r="P63" s="6">
        <v>129.0</v>
      </c>
      <c r="Q63" s="8"/>
      <c r="R63" s="8"/>
      <c r="S63" s="8"/>
      <c r="T63" s="8"/>
      <c r="U63" s="8"/>
      <c r="V63" s="9">
        <v>20.0</v>
      </c>
      <c r="W63" s="10"/>
      <c r="X63" s="10"/>
      <c r="Y63" s="11"/>
      <c r="Z63" s="5"/>
    </row>
    <row r="64">
      <c r="A64" s="1" t="s">
        <v>64</v>
      </c>
      <c r="B64" s="6">
        <v>155.0</v>
      </c>
      <c r="C64" s="6">
        <v>185.0</v>
      </c>
      <c r="D64" s="6">
        <v>209.0</v>
      </c>
      <c r="E64" s="6">
        <v>214.0</v>
      </c>
      <c r="F64" s="6">
        <v>216.0</v>
      </c>
      <c r="G64" s="6">
        <v>216.0</v>
      </c>
      <c r="H64" s="6">
        <v>216.0</v>
      </c>
      <c r="I64" s="6">
        <v>216.0</v>
      </c>
      <c r="J64" s="6">
        <v>215.0</v>
      </c>
      <c r="K64" s="6">
        <v>212.0</v>
      </c>
      <c r="L64" s="6">
        <v>210.0</v>
      </c>
      <c r="M64" s="6">
        <v>185.0</v>
      </c>
      <c r="N64" s="6">
        <v>154.0</v>
      </c>
      <c r="O64" s="6">
        <v>140.0</v>
      </c>
      <c r="P64" s="6">
        <v>130.0</v>
      </c>
      <c r="Q64" s="8"/>
      <c r="R64" s="8"/>
      <c r="S64" s="8"/>
      <c r="T64" s="8"/>
      <c r="U64" s="8"/>
      <c r="V64" s="9">
        <v>20.0</v>
      </c>
      <c r="W64" s="10"/>
      <c r="X64" s="10"/>
      <c r="Y64" s="11"/>
      <c r="Z64" s="5"/>
    </row>
    <row r="65">
      <c r="A65" s="1" t="s">
        <v>65</v>
      </c>
      <c r="B65" s="6">
        <v>155.0</v>
      </c>
      <c r="C65" s="6">
        <v>185.0</v>
      </c>
      <c r="D65" s="6">
        <v>209.0</v>
      </c>
      <c r="E65" s="6">
        <v>214.0</v>
      </c>
      <c r="F65" s="6">
        <v>216.0</v>
      </c>
      <c r="G65" s="6">
        <v>216.0</v>
      </c>
      <c r="H65" s="6">
        <v>216.0</v>
      </c>
      <c r="I65" s="6">
        <v>216.0</v>
      </c>
      <c r="J65" s="6">
        <v>215.0</v>
      </c>
      <c r="K65" s="6">
        <v>212.0</v>
      </c>
      <c r="L65" s="6">
        <v>210.0</v>
      </c>
      <c r="M65" s="6">
        <v>185.0</v>
      </c>
      <c r="N65" s="6">
        <v>154.0</v>
      </c>
      <c r="O65" s="6">
        <v>140.0</v>
      </c>
      <c r="P65" s="6">
        <v>130.0</v>
      </c>
      <c r="Q65" s="8"/>
      <c r="R65" s="8"/>
      <c r="S65" s="8"/>
      <c r="T65" s="8"/>
      <c r="U65" s="8"/>
      <c r="V65" s="9">
        <v>20.0</v>
      </c>
      <c r="W65" s="10"/>
      <c r="X65" s="10"/>
      <c r="Y65" s="11"/>
      <c r="Z65" s="5"/>
    </row>
    <row r="66">
      <c r="A66" s="1" t="s">
        <v>66</v>
      </c>
      <c r="B66" s="6">
        <v>153.0</v>
      </c>
      <c r="C66" s="6">
        <v>183.0</v>
      </c>
      <c r="D66" s="6">
        <v>207.0</v>
      </c>
      <c r="E66" s="6">
        <v>212.0</v>
      </c>
      <c r="F66" s="6">
        <v>216.0</v>
      </c>
      <c r="G66" s="6">
        <v>216.0</v>
      </c>
      <c r="H66" s="6">
        <v>216.0</v>
      </c>
      <c r="I66" s="6">
        <v>216.0</v>
      </c>
      <c r="J66" s="6">
        <v>216.0</v>
      </c>
      <c r="K66" s="6">
        <v>211.0</v>
      </c>
      <c r="L66" s="6">
        <v>207.0</v>
      </c>
      <c r="M66" s="6">
        <v>183.0</v>
      </c>
      <c r="N66" s="14">
        <v>154.0</v>
      </c>
      <c r="O66" s="6">
        <v>139.0</v>
      </c>
      <c r="P66" s="6">
        <v>130.0</v>
      </c>
      <c r="Q66" s="8"/>
      <c r="R66" s="8"/>
      <c r="S66" s="8"/>
      <c r="T66" s="8"/>
      <c r="U66" s="8"/>
      <c r="V66" s="9">
        <v>20.0</v>
      </c>
      <c r="W66" s="10"/>
      <c r="X66" s="10"/>
      <c r="Y66" s="11"/>
      <c r="Z66" s="5"/>
    </row>
    <row r="67">
      <c r="A67" s="1" t="s">
        <v>67</v>
      </c>
      <c r="B67" s="6">
        <v>155.0</v>
      </c>
      <c r="C67" s="6">
        <v>184.0</v>
      </c>
      <c r="D67" s="6">
        <v>209.0</v>
      </c>
      <c r="E67" s="6">
        <v>213.0</v>
      </c>
      <c r="F67" s="6">
        <v>216.0</v>
      </c>
      <c r="G67" s="6">
        <v>216.0</v>
      </c>
      <c r="H67" s="6">
        <v>216.0</v>
      </c>
      <c r="I67" s="6">
        <v>216.0</v>
      </c>
      <c r="J67" s="6">
        <v>216.0</v>
      </c>
      <c r="K67" s="6">
        <v>211.0</v>
      </c>
      <c r="L67" s="6">
        <v>208.0</v>
      </c>
      <c r="M67" s="6">
        <v>184.0</v>
      </c>
      <c r="N67" s="6">
        <v>154.0</v>
      </c>
      <c r="O67" s="6">
        <v>140.0</v>
      </c>
      <c r="P67" s="6">
        <v>129.0</v>
      </c>
      <c r="Q67" s="8"/>
      <c r="R67" s="8"/>
      <c r="S67" s="8"/>
      <c r="T67" s="8"/>
      <c r="U67" s="8"/>
      <c r="V67" s="9">
        <v>20.0</v>
      </c>
      <c r="W67" s="10"/>
      <c r="X67" s="10"/>
      <c r="Y67" s="11"/>
      <c r="Z67" s="5"/>
    </row>
    <row r="68">
      <c r="A68" s="1" t="s">
        <v>68</v>
      </c>
      <c r="B68" s="6">
        <v>174.0</v>
      </c>
      <c r="C68" s="6">
        <v>196.0</v>
      </c>
      <c r="D68" s="6">
        <v>208.0</v>
      </c>
      <c r="E68" s="6">
        <v>215.0</v>
      </c>
      <c r="F68" s="6">
        <v>215.0</v>
      </c>
      <c r="G68" s="6">
        <v>215.0</v>
      </c>
      <c r="H68" s="6">
        <v>216.0</v>
      </c>
      <c r="I68" s="6">
        <v>216.0</v>
      </c>
      <c r="J68" s="6">
        <v>216.0</v>
      </c>
      <c r="K68" s="6">
        <v>215.0</v>
      </c>
      <c r="L68" s="6">
        <v>213.0</v>
      </c>
      <c r="M68" s="6">
        <v>191.0</v>
      </c>
      <c r="N68" s="6">
        <v>162.0</v>
      </c>
      <c r="O68" s="6">
        <v>150.0</v>
      </c>
      <c r="P68" s="6">
        <v>146.0</v>
      </c>
      <c r="Q68" s="8"/>
      <c r="R68" s="8"/>
      <c r="S68" s="8"/>
      <c r="T68" s="8"/>
      <c r="U68" s="8"/>
      <c r="V68" s="9">
        <v>20.0</v>
      </c>
      <c r="W68" s="10"/>
      <c r="X68" s="10"/>
      <c r="Y68" s="11"/>
      <c r="Z68" s="5"/>
    </row>
    <row r="69">
      <c r="A69" s="1" t="s">
        <v>69</v>
      </c>
      <c r="B69" s="6">
        <v>133.0</v>
      </c>
      <c r="C69" s="6">
        <v>145.0</v>
      </c>
      <c r="D69" s="6">
        <v>148.0</v>
      </c>
      <c r="E69" s="6">
        <v>149.0</v>
      </c>
      <c r="F69" s="6">
        <v>150.0</v>
      </c>
      <c r="G69" s="6">
        <v>150.0</v>
      </c>
      <c r="H69" s="6">
        <v>150.0</v>
      </c>
      <c r="I69" s="6">
        <v>150.0</v>
      </c>
      <c r="J69" s="6">
        <v>148.0</v>
      </c>
      <c r="K69" s="6">
        <v>142.0</v>
      </c>
      <c r="L69" s="6">
        <v>136.0</v>
      </c>
      <c r="M69" s="6">
        <v>132.0</v>
      </c>
      <c r="N69" s="6">
        <v>120.0</v>
      </c>
      <c r="O69" s="6">
        <v>108.0</v>
      </c>
      <c r="P69" s="6">
        <v>90.0</v>
      </c>
      <c r="Q69" s="8"/>
      <c r="R69" s="8"/>
      <c r="S69" s="8"/>
      <c r="T69" s="8"/>
      <c r="U69" s="8"/>
      <c r="V69" s="9">
        <v>19.5</v>
      </c>
      <c r="W69" s="10"/>
      <c r="X69" s="10"/>
      <c r="Y69" s="11"/>
      <c r="Z69" s="5"/>
    </row>
    <row r="70">
      <c r="A70" s="1" t="s">
        <v>70</v>
      </c>
      <c r="B70" s="6">
        <v>61.0</v>
      </c>
      <c r="C70" s="6">
        <v>65.0</v>
      </c>
      <c r="D70" s="6">
        <v>69.0</v>
      </c>
      <c r="E70" s="6">
        <v>71.0</v>
      </c>
      <c r="F70" s="6">
        <v>76.0</v>
      </c>
      <c r="G70" s="6">
        <v>76.0</v>
      </c>
      <c r="H70" s="6">
        <v>78.0</v>
      </c>
      <c r="I70" s="6">
        <v>80.0</v>
      </c>
      <c r="J70" s="6">
        <v>81.0</v>
      </c>
      <c r="K70" s="6">
        <v>82.0</v>
      </c>
      <c r="L70" s="6">
        <v>84.0</v>
      </c>
      <c r="M70" s="6">
        <v>87.0</v>
      </c>
      <c r="N70" s="6">
        <v>89.0</v>
      </c>
      <c r="O70" s="6">
        <v>90.0</v>
      </c>
      <c r="P70" s="6">
        <v>90.0</v>
      </c>
      <c r="Q70" s="8"/>
      <c r="R70" s="8"/>
      <c r="S70" s="8"/>
      <c r="T70" s="8"/>
      <c r="U70" s="8"/>
      <c r="V70" s="9">
        <v>17.0</v>
      </c>
      <c r="W70" s="10"/>
      <c r="X70" s="10"/>
      <c r="Y70" s="11"/>
      <c r="Z70" s="5"/>
    </row>
    <row r="71">
      <c r="A71" s="1">
        <v>1513.0</v>
      </c>
      <c r="B71" s="15">
        <v>-60.0</v>
      </c>
      <c r="C71" s="15">
        <v>-54.0</v>
      </c>
      <c r="D71" s="15">
        <v>-48.0</v>
      </c>
      <c r="E71" s="15">
        <v>-38.0</v>
      </c>
      <c r="F71" s="15">
        <v>-29.0</v>
      </c>
      <c r="G71" s="15">
        <v>-18.0</v>
      </c>
      <c r="H71" s="15">
        <v>-4.0</v>
      </c>
      <c r="I71" s="15">
        <v>11.0</v>
      </c>
      <c r="J71" s="15">
        <v>33.0</v>
      </c>
      <c r="K71" s="15">
        <v>47.0</v>
      </c>
      <c r="L71" s="15">
        <v>58.0</v>
      </c>
      <c r="M71" s="15">
        <v>66.0</v>
      </c>
      <c r="N71" s="15">
        <v>78.0</v>
      </c>
      <c r="O71" s="15">
        <v>81.0</v>
      </c>
      <c r="P71" s="15">
        <v>82.0</v>
      </c>
      <c r="Q71" s="15">
        <v>83.0</v>
      </c>
      <c r="R71" s="15">
        <v>84.0</v>
      </c>
      <c r="S71" s="15">
        <v>78.0</v>
      </c>
      <c r="T71" s="15">
        <v>41.0</v>
      </c>
      <c r="U71" s="15">
        <v>24.0</v>
      </c>
      <c r="V71" s="9">
        <v>23.0</v>
      </c>
      <c r="W71" s="10"/>
      <c r="X71" s="10"/>
      <c r="Y71" s="11"/>
      <c r="Z71" s="5"/>
    </row>
    <row r="72">
      <c r="A72" s="5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  <c r="Z72" s="5"/>
    </row>
    <row r="73">
      <c r="A73" s="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  <c r="Z73" s="5"/>
    </row>
    <row r="74">
      <c r="A74" s="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  <c r="Z74" s="5"/>
    </row>
    <row r="75">
      <c r="A75" s="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  <c r="Z75" s="5"/>
    </row>
    <row r="76">
      <c r="A76" s="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  <c r="Z76" s="5"/>
    </row>
    <row r="77">
      <c r="A77" s="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  <c r="Z77" s="5"/>
    </row>
    <row r="78">
      <c r="A78" s="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  <c r="Z78" s="5"/>
    </row>
    <row r="79">
      <c r="A79" s="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  <c r="Z79" s="5"/>
    </row>
    <row r="80">
      <c r="A80" s="5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5"/>
    </row>
    <row r="81">
      <c r="A81" s="5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  <c r="Z81" s="5"/>
    </row>
    <row r="82">
      <c r="A82" s="5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  <c r="Z82" s="5"/>
    </row>
    <row r="83">
      <c r="A83" s="5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  <c r="Z83" s="5"/>
    </row>
    <row r="84">
      <c r="A84" s="5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  <c r="Z84" s="5"/>
    </row>
    <row r="85">
      <c r="A85" s="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  <c r="Z85" s="5"/>
    </row>
    <row r="86">
      <c r="A86" s="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  <c r="Z86" s="5"/>
    </row>
    <row r="87">
      <c r="A87" s="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  <c r="Z87" s="5"/>
    </row>
    <row r="88">
      <c r="A88" s="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  <c r="Z88" s="5"/>
    </row>
    <row r="89">
      <c r="A89" s="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  <c r="Z89" s="5"/>
    </row>
    <row r="90">
      <c r="A90" s="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  <c r="Z90" s="5"/>
    </row>
    <row r="91">
      <c r="A91" s="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  <c r="Z91" s="5"/>
    </row>
    <row r="92">
      <c r="A92" s="5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  <c r="Z92" s="5"/>
    </row>
    <row r="93">
      <c r="A93" s="5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  <c r="Z93" s="5"/>
    </row>
    <row r="94">
      <c r="A94" s="5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  <c r="Z94" s="5"/>
    </row>
    <row r="95">
      <c r="A95" s="5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  <c r="Z95" s="5"/>
    </row>
    <row r="96">
      <c r="A96" s="5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  <c r="Z96" s="5"/>
    </row>
    <row r="97">
      <c r="A97" s="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  <c r="Z97" s="5"/>
    </row>
    <row r="98">
      <c r="A98" s="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  <c r="Z98" s="5"/>
    </row>
    <row r="99">
      <c r="A99" s="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  <c r="Z99" s="5"/>
    </row>
    <row r="100">
      <c r="A100" s="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  <c r="Z100" s="5"/>
    </row>
    <row r="101">
      <c r="A101" s="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  <c r="Z101" s="5"/>
    </row>
    <row r="102">
      <c r="A102" s="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  <c r="Z102" s="5"/>
    </row>
    <row r="103">
      <c r="A103" s="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  <c r="Z103" s="5"/>
    </row>
    <row r="104">
      <c r="A104" s="5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  <c r="Z104" s="5"/>
    </row>
    <row r="105">
      <c r="A105" s="5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  <c r="Z105" s="5"/>
    </row>
    <row r="106">
      <c r="A106" s="5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  <c r="Z106" s="5"/>
    </row>
    <row r="107">
      <c r="A107" s="5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  <c r="Z107" s="5"/>
    </row>
    <row r="108">
      <c r="A108" s="5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  <c r="Z108" s="5"/>
    </row>
    <row r="109">
      <c r="A109" s="5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  <c r="Z109" s="5"/>
    </row>
    <row r="110">
      <c r="A110" s="5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  <c r="Z110" s="5"/>
    </row>
    <row r="111">
      <c r="A111" s="5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  <c r="Z111" s="5"/>
    </row>
    <row r="112">
      <c r="A112" s="5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  <c r="Z112" s="5"/>
    </row>
    <row r="113">
      <c r="A113" s="5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  <c r="Z113" s="5"/>
    </row>
    <row r="114">
      <c r="A114" s="5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  <c r="Z114" s="5"/>
    </row>
    <row r="115">
      <c r="A115" s="5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  <c r="Z115" s="5"/>
    </row>
    <row r="116">
      <c r="A116" s="5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  <c r="Z116" s="5"/>
    </row>
    <row r="117">
      <c r="A117" s="5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  <c r="Z117" s="5"/>
    </row>
    <row r="118">
      <c r="A118" s="5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  <c r="Z118" s="5"/>
    </row>
    <row r="119">
      <c r="A119" s="5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  <c r="Z119" s="5"/>
    </row>
    <row r="120">
      <c r="A120" s="5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  <c r="Z120" s="5"/>
    </row>
    <row r="121">
      <c r="A121" s="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  <c r="Z121" s="5"/>
    </row>
    <row r="122">
      <c r="A122" s="5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  <c r="Z122" s="5"/>
    </row>
    <row r="123">
      <c r="A123" s="5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  <c r="Z123" s="5"/>
    </row>
    <row r="124">
      <c r="A124" s="5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  <c r="Z124" s="5"/>
    </row>
    <row r="125">
      <c r="A125" s="5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  <c r="Z125" s="5"/>
    </row>
    <row r="126">
      <c r="A126" s="5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  <c r="Z126" s="5"/>
    </row>
    <row r="127">
      <c r="A127" s="5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  <c r="Z127" s="5"/>
    </row>
    <row r="128">
      <c r="A128" s="5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  <c r="Z128" s="5"/>
    </row>
    <row r="129">
      <c r="A129" s="5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  <c r="Z129" s="5"/>
    </row>
    <row r="130">
      <c r="A130" s="5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  <c r="Z130" s="5"/>
    </row>
    <row r="131">
      <c r="A131" s="5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  <c r="Z131" s="5"/>
    </row>
    <row r="132">
      <c r="A132" s="5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  <c r="Z132" s="5"/>
    </row>
    <row r="133">
      <c r="A133" s="5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  <c r="Z133" s="5"/>
    </row>
    <row r="134">
      <c r="A134" s="5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  <c r="Z134" s="5"/>
    </row>
    <row r="135">
      <c r="A135" s="5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  <c r="Z135" s="5"/>
    </row>
    <row r="136">
      <c r="A136" s="5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  <c r="Z136" s="5"/>
    </row>
    <row r="137">
      <c r="A137" s="5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  <c r="Z137" s="5"/>
    </row>
    <row r="138">
      <c r="A138" s="5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  <c r="Z138" s="5"/>
    </row>
    <row r="139">
      <c r="A139" s="5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  <c r="Z139" s="5"/>
    </row>
    <row r="140">
      <c r="A140" s="5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  <c r="Z140" s="5"/>
    </row>
    <row r="141">
      <c r="A141" s="5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  <c r="Z141" s="5"/>
    </row>
    <row r="142">
      <c r="A142" s="5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  <c r="Z142" s="5"/>
    </row>
    <row r="143">
      <c r="A143" s="5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  <c r="Z143" s="5"/>
    </row>
    <row r="144">
      <c r="A144" s="5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  <c r="Z144" s="5"/>
    </row>
    <row r="145">
      <c r="A145" s="5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  <c r="Z145" s="5"/>
    </row>
    <row r="146">
      <c r="A146" s="5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  <c r="Z146" s="5"/>
    </row>
    <row r="147">
      <c r="A147" s="5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  <c r="Z147" s="5"/>
    </row>
    <row r="148">
      <c r="A148" s="5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  <c r="Z148" s="5"/>
    </row>
    <row r="149">
      <c r="A149" s="5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  <c r="Z149" s="5"/>
    </row>
    <row r="150">
      <c r="A150" s="5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  <c r="Z150" s="5"/>
    </row>
    <row r="151">
      <c r="A151" s="5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  <c r="Z151" s="5"/>
    </row>
    <row r="152">
      <c r="A152" s="5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  <c r="Z152" s="5"/>
    </row>
    <row r="153">
      <c r="A153" s="5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1"/>
      <c r="Z153" s="5"/>
    </row>
    <row r="154">
      <c r="A154" s="5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1"/>
      <c r="Z154" s="5"/>
    </row>
    <row r="155">
      <c r="A155" s="5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1"/>
      <c r="Z155" s="5"/>
    </row>
    <row r="156">
      <c r="A156" s="5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1"/>
      <c r="Z156" s="5"/>
    </row>
    <row r="157">
      <c r="A157" s="5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1"/>
      <c r="Z157" s="5"/>
    </row>
    <row r="158">
      <c r="A158" s="5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1"/>
      <c r="Z158" s="5"/>
    </row>
    <row r="159">
      <c r="A159" s="5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1"/>
      <c r="Z159" s="5"/>
    </row>
    <row r="160">
      <c r="A160" s="5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1"/>
      <c r="Z160" s="5"/>
    </row>
    <row r="161">
      <c r="A161" s="5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1"/>
      <c r="Z161" s="5"/>
    </row>
    <row r="162">
      <c r="A162" s="5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1"/>
      <c r="Z162" s="5"/>
    </row>
    <row r="163">
      <c r="A163" s="5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1"/>
      <c r="Z163" s="5"/>
    </row>
    <row r="164">
      <c r="A164" s="5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1"/>
      <c r="Z164" s="5"/>
    </row>
    <row r="165">
      <c r="A165" s="5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1"/>
      <c r="Z165" s="5"/>
    </row>
    <row r="166">
      <c r="A166" s="5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1"/>
      <c r="Z166" s="5"/>
    </row>
    <row r="167">
      <c r="A167" s="5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1"/>
      <c r="Z167" s="5"/>
    </row>
    <row r="168">
      <c r="A168" s="5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1"/>
      <c r="Z168" s="5"/>
    </row>
    <row r="169">
      <c r="A169" s="5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1"/>
      <c r="Z169" s="5"/>
    </row>
    <row r="170">
      <c r="A170" s="5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1"/>
      <c r="Z170" s="5"/>
    </row>
    <row r="171">
      <c r="A171" s="5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1"/>
      <c r="Z171" s="5"/>
    </row>
    <row r="172">
      <c r="A172" s="5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1"/>
      <c r="Z172" s="5"/>
    </row>
    <row r="173">
      <c r="A173" s="5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1"/>
      <c r="Z173" s="5"/>
    </row>
    <row r="174">
      <c r="A174" s="5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1"/>
      <c r="Z174" s="5"/>
    </row>
    <row r="175">
      <c r="A175" s="5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1"/>
      <c r="Z175" s="5"/>
    </row>
    <row r="176">
      <c r="A176" s="5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1"/>
      <c r="Z176" s="5"/>
    </row>
    <row r="177">
      <c r="A177" s="5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1"/>
      <c r="Z177" s="5"/>
    </row>
    <row r="178">
      <c r="A178" s="5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1"/>
      <c r="Z178" s="5"/>
    </row>
    <row r="179">
      <c r="A179" s="5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"/>
      <c r="Z179" s="5"/>
    </row>
    <row r="180">
      <c r="A180" s="5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"/>
      <c r="Z180" s="5"/>
    </row>
    <row r="181">
      <c r="A181" s="5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"/>
      <c r="Z181" s="5"/>
    </row>
    <row r="182">
      <c r="A182" s="5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1"/>
      <c r="Z182" s="5"/>
    </row>
    <row r="183">
      <c r="A183" s="5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1"/>
      <c r="Z183" s="5"/>
    </row>
    <row r="184">
      <c r="A184" s="5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1"/>
      <c r="Z184" s="5"/>
    </row>
    <row r="185">
      <c r="A185" s="5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"/>
      <c r="Z185" s="5"/>
    </row>
    <row r="186">
      <c r="A186" s="5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"/>
      <c r="Z186" s="5"/>
    </row>
    <row r="187">
      <c r="A187" s="5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"/>
      <c r="Z187" s="5"/>
    </row>
    <row r="188">
      <c r="A188" s="5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1"/>
      <c r="Z188" s="5"/>
    </row>
    <row r="189">
      <c r="A189" s="5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1"/>
      <c r="Z189" s="5"/>
    </row>
    <row r="190">
      <c r="A190" s="5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1"/>
      <c r="Z190" s="5"/>
    </row>
    <row r="191">
      <c r="A191" s="5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"/>
      <c r="Z191" s="5"/>
    </row>
    <row r="192">
      <c r="A192" s="5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"/>
      <c r="Z192" s="5"/>
    </row>
    <row r="193">
      <c r="A193" s="5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"/>
      <c r="Z193" s="5"/>
    </row>
    <row r="194">
      <c r="A194" s="5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"/>
      <c r="Z194" s="5"/>
    </row>
    <row r="195">
      <c r="A195" s="5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1"/>
      <c r="Z195" s="5"/>
    </row>
    <row r="196">
      <c r="A196" s="5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1"/>
      <c r="Z196" s="5"/>
    </row>
    <row r="197">
      <c r="A197" s="5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"/>
      <c r="Z197" s="5"/>
    </row>
    <row r="198">
      <c r="A198" s="5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"/>
      <c r="Z198" s="5"/>
    </row>
    <row r="199">
      <c r="A199" s="5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"/>
      <c r="Z199" s="5"/>
    </row>
    <row r="200">
      <c r="A200" s="5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1"/>
      <c r="Z200" s="5"/>
    </row>
    <row r="201">
      <c r="A201" s="5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1"/>
      <c r="Z201" s="5"/>
    </row>
    <row r="202">
      <c r="A202" s="5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1"/>
      <c r="Z202" s="5"/>
    </row>
    <row r="203">
      <c r="A203" s="5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1"/>
      <c r="Z203" s="5"/>
    </row>
    <row r="204">
      <c r="A204" s="5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1"/>
      <c r="Z204" s="5"/>
    </row>
    <row r="205">
      <c r="A205" s="5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1"/>
      <c r="Z205" s="5"/>
    </row>
    <row r="206">
      <c r="A206" s="5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1"/>
      <c r="Z206" s="5"/>
    </row>
    <row r="207">
      <c r="A207" s="5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1"/>
      <c r="Z207" s="5"/>
    </row>
    <row r="208">
      <c r="A208" s="5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1"/>
      <c r="Z208" s="5"/>
    </row>
    <row r="209">
      <c r="A209" s="5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1"/>
      <c r="Z209" s="5"/>
    </row>
    <row r="210">
      <c r="A210" s="5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1"/>
      <c r="Z210" s="5"/>
    </row>
    <row r="211">
      <c r="A211" s="5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1"/>
      <c r="Z211" s="5"/>
    </row>
    <row r="212">
      <c r="A212" s="5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1"/>
      <c r="Z212" s="5"/>
    </row>
    <row r="213">
      <c r="A213" s="5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1"/>
      <c r="Z213" s="5"/>
    </row>
    <row r="214">
      <c r="A214" s="5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1"/>
      <c r="Z214" s="5"/>
    </row>
    <row r="215">
      <c r="A215" s="5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1"/>
      <c r="Z215" s="5"/>
    </row>
    <row r="216">
      <c r="A216" s="5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1"/>
      <c r="Z216" s="5"/>
    </row>
    <row r="217">
      <c r="A217" s="5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1"/>
      <c r="Z217" s="5"/>
    </row>
    <row r="218">
      <c r="A218" s="5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1"/>
      <c r="Z218" s="5"/>
    </row>
    <row r="219">
      <c r="A219" s="5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1"/>
      <c r="Z219" s="5"/>
    </row>
    <row r="220">
      <c r="A220" s="5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1"/>
      <c r="Z220" s="5"/>
    </row>
    <row r="221">
      <c r="A221" s="5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1"/>
      <c r="Z221" s="5"/>
    </row>
    <row r="222">
      <c r="A222" s="5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1"/>
      <c r="Z222" s="5"/>
    </row>
    <row r="223">
      <c r="A223" s="5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1"/>
      <c r="Z223" s="5"/>
    </row>
    <row r="224">
      <c r="A224" s="5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1"/>
      <c r="Z224" s="5"/>
    </row>
    <row r="225">
      <c r="A225" s="5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1"/>
      <c r="Z225" s="5"/>
    </row>
    <row r="226">
      <c r="A226" s="5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1"/>
      <c r="Z226" s="5"/>
    </row>
    <row r="227">
      <c r="A227" s="5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1"/>
      <c r="Z227" s="5"/>
    </row>
    <row r="228">
      <c r="A228" s="5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1"/>
      <c r="Z228" s="5"/>
    </row>
    <row r="229">
      <c r="A229" s="5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1"/>
      <c r="Z229" s="5"/>
    </row>
    <row r="230">
      <c r="A230" s="5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1"/>
      <c r="Z230" s="5"/>
    </row>
    <row r="231">
      <c r="A231" s="5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1"/>
      <c r="Z231" s="5"/>
    </row>
    <row r="232">
      <c r="A232" s="5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1"/>
      <c r="Z232" s="5"/>
    </row>
    <row r="233">
      <c r="A233" s="5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1"/>
      <c r="Z233" s="5"/>
    </row>
    <row r="234">
      <c r="A234" s="5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1"/>
      <c r="Z234" s="5"/>
    </row>
    <row r="235">
      <c r="A235" s="5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1"/>
      <c r="Z235" s="5"/>
    </row>
    <row r="236">
      <c r="A236" s="5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1"/>
      <c r="Z236" s="5"/>
    </row>
    <row r="237">
      <c r="A237" s="5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1"/>
      <c r="Z237" s="5"/>
    </row>
    <row r="238">
      <c r="A238" s="5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1"/>
      <c r="Z238" s="5"/>
    </row>
    <row r="239">
      <c r="A239" s="5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1"/>
      <c r="Z239" s="5"/>
    </row>
    <row r="240">
      <c r="A240" s="5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1"/>
      <c r="Z240" s="5"/>
    </row>
    <row r="241">
      <c r="A241" s="5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1"/>
      <c r="Z241" s="5"/>
    </row>
    <row r="242">
      <c r="A242" s="5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1"/>
      <c r="Z242" s="5"/>
    </row>
    <row r="243">
      <c r="A243" s="5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1"/>
      <c r="Z243" s="5"/>
    </row>
    <row r="244">
      <c r="A244" s="5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1"/>
      <c r="Z244" s="5"/>
    </row>
    <row r="245">
      <c r="A245" s="5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1"/>
      <c r="Z245" s="5"/>
    </row>
    <row r="246">
      <c r="A246" s="5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1"/>
      <c r="Z246" s="5"/>
    </row>
    <row r="247">
      <c r="A247" s="5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1"/>
      <c r="Z247" s="5"/>
    </row>
    <row r="248">
      <c r="A248" s="5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1"/>
      <c r="Z248" s="5"/>
    </row>
    <row r="249">
      <c r="A249" s="5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1"/>
      <c r="Z249" s="5"/>
    </row>
    <row r="250">
      <c r="A250" s="5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1"/>
      <c r="Z250" s="5"/>
    </row>
    <row r="251">
      <c r="A251" s="5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1"/>
      <c r="Z251" s="5"/>
    </row>
    <row r="252">
      <c r="A252" s="5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1"/>
      <c r="Z252" s="5"/>
    </row>
    <row r="253">
      <c r="A253" s="5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1"/>
      <c r="Z253" s="5"/>
    </row>
    <row r="254">
      <c r="A254" s="5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1"/>
      <c r="Z254" s="5"/>
    </row>
    <row r="255">
      <c r="A255" s="5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1"/>
      <c r="Z255" s="5"/>
    </row>
    <row r="256">
      <c r="A256" s="5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1"/>
      <c r="Z256" s="5"/>
    </row>
    <row r="257">
      <c r="A257" s="5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1"/>
      <c r="Z257" s="5"/>
    </row>
    <row r="258">
      <c r="A258" s="5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1"/>
      <c r="Z258" s="5"/>
    </row>
    <row r="259">
      <c r="A259" s="5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1"/>
      <c r="Z259" s="5"/>
    </row>
    <row r="260">
      <c r="A260" s="5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1"/>
      <c r="Z260" s="5"/>
    </row>
    <row r="261">
      <c r="A261" s="5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1"/>
      <c r="Z261" s="5"/>
    </row>
    <row r="262">
      <c r="A262" s="5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1"/>
      <c r="Z262" s="5"/>
    </row>
    <row r="263">
      <c r="A263" s="5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1"/>
      <c r="Z263" s="5"/>
    </row>
    <row r="264">
      <c r="A264" s="5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1"/>
      <c r="Z264" s="5"/>
    </row>
    <row r="265">
      <c r="A265" s="5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1"/>
      <c r="Z265" s="5"/>
    </row>
    <row r="266">
      <c r="A266" s="5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1"/>
      <c r="Z266" s="5"/>
    </row>
    <row r="267">
      <c r="A267" s="5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1"/>
      <c r="Z267" s="5"/>
    </row>
    <row r="268">
      <c r="A268" s="5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1"/>
      <c r="Z268" s="5"/>
    </row>
    <row r="269">
      <c r="A269" s="5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1"/>
      <c r="Z269" s="5"/>
    </row>
    <row r="270">
      <c r="A270" s="5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1"/>
      <c r="Z270" s="5"/>
    </row>
    <row r="271">
      <c r="A271" s="5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1"/>
      <c r="Z271" s="5"/>
    </row>
    <row r="272">
      <c r="A272" s="5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1"/>
      <c r="Z272" s="5"/>
    </row>
    <row r="273">
      <c r="A273" s="5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1"/>
      <c r="Z273" s="5"/>
    </row>
    <row r="274">
      <c r="A274" s="5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1"/>
      <c r="Z274" s="5"/>
    </row>
    <row r="275">
      <c r="A275" s="5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1"/>
      <c r="Z275" s="5"/>
    </row>
    <row r="276">
      <c r="A276" s="5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1"/>
      <c r="Z276" s="5"/>
    </row>
    <row r="277">
      <c r="A277" s="5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1"/>
      <c r="Z277" s="5"/>
    </row>
    <row r="278">
      <c r="A278" s="5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1"/>
      <c r="Z278" s="5"/>
    </row>
    <row r="279">
      <c r="A279" s="5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1"/>
      <c r="Z279" s="5"/>
    </row>
    <row r="280">
      <c r="A280" s="5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1"/>
      <c r="Z280" s="5"/>
    </row>
    <row r="281">
      <c r="A281" s="5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1"/>
      <c r="Z281" s="5"/>
    </row>
    <row r="282">
      <c r="A282" s="5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1"/>
      <c r="Z282" s="5"/>
    </row>
    <row r="283">
      <c r="A283" s="5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1"/>
      <c r="Z283" s="5"/>
    </row>
    <row r="284">
      <c r="A284" s="5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1"/>
      <c r="Z284" s="5"/>
    </row>
    <row r="285">
      <c r="A285" s="5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1"/>
      <c r="Z285" s="5"/>
    </row>
    <row r="286">
      <c r="A286" s="5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1"/>
      <c r="Z286" s="5"/>
    </row>
    <row r="287">
      <c r="A287" s="5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1"/>
      <c r="Z287" s="5"/>
    </row>
    <row r="288">
      <c r="A288" s="5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1"/>
      <c r="Z288" s="5"/>
    </row>
    <row r="289">
      <c r="A289" s="5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1"/>
      <c r="Z289" s="5"/>
    </row>
    <row r="290">
      <c r="A290" s="5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1"/>
      <c r="Z290" s="5"/>
    </row>
    <row r="291">
      <c r="A291" s="5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1"/>
      <c r="Z291" s="5"/>
    </row>
    <row r="292">
      <c r="A292" s="5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1"/>
      <c r="Z292" s="5"/>
    </row>
    <row r="293">
      <c r="A293" s="5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1"/>
      <c r="Z293" s="5"/>
    </row>
    <row r="294">
      <c r="A294" s="5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1"/>
      <c r="Z294" s="5"/>
    </row>
    <row r="295">
      <c r="A295" s="5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1"/>
      <c r="Z295" s="5"/>
    </row>
    <row r="296">
      <c r="A296" s="5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1"/>
      <c r="Z296" s="5"/>
    </row>
    <row r="297">
      <c r="A297" s="5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1"/>
      <c r="Z297" s="5"/>
    </row>
    <row r="298">
      <c r="A298" s="5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1"/>
      <c r="Z298" s="5"/>
    </row>
    <row r="299">
      <c r="A299" s="5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1"/>
      <c r="Z299" s="5"/>
    </row>
    <row r="300">
      <c r="A300" s="5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1"/>
      <c r="Z300" s="5"/>
    </row>
    <row r="301">
      <c r="A301" s="5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1"/>
      <c r="Z301" s="5"/>
    </row>
    <row r="302">
      <c r="A302" s="5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1"/>
      <c r="Z302" s="5"/>
    </row>
    <row r="303">
      <c r="A303" s="5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1"/>
      <c r="Z303" s="5"/>
    </row>
    <row r="304">
      <c r="A304" s="5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1"/>
      <c r="Z304" s="5"/>
    </row>
    <row r="305">
      <c r="A305" s="5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1"/>
      <c r="Z305" s="5"/>
    </row>
    <row r="306">
      <c r="A306" s="5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1"/>
      <c r="Z306" s="5"/>
    </row>
    <row r="307">
      <c r="A307" s="5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1"/>
      <c r="Z307" s="5"/>
    </row>
    <row r="308">
      <c r="A308" s="5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1"/>
      <c r="Z308" s="5"/>
    </row>
    <row r="309">
      <c r="A309" s="5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1"/>
      <c r="Z309" s="5"/>
    </row>
    <row r="310">
      <c r="A310" s="5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1"/>
      <c r="Z310" s="5"/>
    </row>
    <row r="311">
      <c r="A311" s="5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1"/>
      <c r="Z311" s="5"/>
    </row>
    <row r="312">
      <c r="A312" s="5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1"/>
      <c r="Z312" s="5"/>
    </row>
    <row r="313">
      <c r="A313" s="5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1"/>
      <c r="Z313" s="5"/>
    </row>
    <row r="314">
      <c r="A314" s="5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1"/>
      <c r="Z314" s="5"/>
    </row>
    <row r="315">
      <c r="A315" s="5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1"/>
      <c r="Z315" s="5"/>
    </row>
    <row r="316">
      <c r="A316" s="5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1"/>
      <c r="Z316" s="5"/>
    </row>
    <row r="317">
      <c r="A317" s="5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1"/>
      <c r="Z317" s="5"/>
    </row>
    <row r="318">
      <c r="A318" s="5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1"/>
      <c r="Z318" s="5"/>
    </row>
    <row r="319">
      <c r="A319" s="5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1"/>
      <c r="Z319" s="5"/>
    </row>
    <row r="320">
      <c r="A320" s="5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1"/>
      <c r="Z320" s="5"/>
    </row>
    <row r="321">
      <c r="A321" s="5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1"/>
      <c r="Z321" s="5"/>
    </row>
    <row r="322">
      <c r="A322" s="5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1"/>
      <c r="Z322" s="5"/>
    </row>
    <row r="323">
      <c r="A323" s="5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1"/>
      <c r="Z323" s="5"/>
    </row>
    <row r="324">
      <c r="A324" s="5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1"/>
      <c r="Z324" s="5"/>
    </row>
    <row r="325">
      <c r="A325" s="5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1"/>
      <c r="Z325" s="5"/>
    </row>
    <row r="326">
      <c r="A326" s="5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1"/>
      <c r="Z326" s="5"/>
    </row>
    <row r="327">
      <c r="A327" s="5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1"/>
      <c r="Z327" s="5"/>
    </row>
    <row r="328">
      <c r="A328" s="5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1"/>
      <c r="Z328" s="5"/>
    </row>
    <row r="329">
      <c r="A329" s="5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1"/>
      <c r="Z329" s="5"/>
    </row>
    <row r="330">
      <c r="A330" s="5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1"/>
      <c r="Z330" s="5"/>
    </row>
    <row r="331">
      <c r="A331" s="5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1"/>
      <c r="Z331" s="5"/>
    </row>
    <row r="332">
      <c r="A332" s="5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1"/>
      <c r="Z332" s="5"/>
    </row>
    <row r="333">
      <c r="A333" s="5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1"/>
      <c r="Z333" s="5"/>
    </row>
    <row r="334">
      <c r="A334" s="5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1"/>
      <c r="Z334" s="5"/>
    </row>
    <row r="335">
      <c r="A335" s="5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1"/>
      <c r="Z335" s="5"/>
    </row>
    <row r="336">
      <c r="A336" s="5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1"/>
      <c r="Z336" s="5"/>
    </row>
    <row r="337">
      <c r="A337" s="5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1"/>
      <c r="Z337" s="5"/>
    </row>
    <row r="338">
      <c r="A338" s="5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1"/>
      <c r="Z338" s="5"/>
    </row>
    <row r="339">
      <c r="A339" s="5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1"/>
      <c r="Z339" s="5"/>
    </row>
    <row r="340">
      <c r="A340" s="5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1"/>
      <c r="Z340" s="5"/>
    </row>
    <row r="341">
      <c r="A341" s="5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1"/>
      <c r="Z341" s="5"/>
    </row>
    <row r="342">
      <c r="A342" s="5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1"/>
      <c r="Z342" s="5"/>
    </row>
    <row r="343">
      <c r="A343" s="5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1"/>
      <c r="Z343" s="5"/>
    </row>
    <row r="344">
      <c r="A344" s="5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1"/>
      <c r="Z344" s="5"/>
    </row>
    <row r="345">
      <c r="A345" s="5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1"/>
      <c r="Z345" s="5"/>
    </row>
    <row r="346">
      <c r="A346" s="5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1"/>
      <c r="Z346" s="5"/>
    </row>
    <row r="347">
      <c r="A347" s="5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1"/>
      <c r="Z347" s="5"/>
    </row>
    <row r="348">
      <c r="A348" s="5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1"/>
      <c r="Z348" s="5"/>
    </row>
    <row r="349">
      <c r="A349" s="5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1"/>
      <c r="Z349" s="5"/>
    </row>
    <row r="350">
      <c r="A350" s="5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1"/>
      <c r="Z350" s="5"/>
    </row>
    <row r="351">
      <c r="A351" s="5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1"/>
      <c r="Z351" s="5"/>
    </row>
    <row r="352">
      <c r="A352" s="5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1"/>
      <c r="Z352" s="5"/>
    </row>
    <row r="353">
      <c r="A353" s="5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1"/>
      <c r="Z353" s="5"/>
    </row>
    <row r="354">
      <c r="A354" s="5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1"/>
      <c r="Z354" s="5"/>
    </row>
    <row r="355">
      <c r="A355" s="5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1"/>
      <c r="Z355" s="5"/>
    </row>
    <row r="356">
      <c r="A356" s="5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1"/>
      <c r="Z356" s="5"/>
    </row>
    <row r="357">
      <c r="A357" s="5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1"/>
      <c r="Z357" s="5"/>
    </row>
    <row r="358">
      <c r="A358" s="5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1"/>
      <c r="Z358" s="5"/>
    </row>
    <row r="359">
      <c r="A359" s="5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1"/>
      <c r="Z359" s="5"/>
    </row>
    <row r="360">
      <c r="A360" s="5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1"/>
      <c r="Z360" s="5"/>
    </row>
    <row r="361">
      <c r="A361" s="5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1"/>
      <c r="Z361" s="5"/>
    </row>
    <row r="362">
      <c r="A362" s="5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1"/>
      <c r="Z362" s="5"/>
    </row>
    <row r="363">
      <c r="A363" s="5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1"/>
      <c r="Z363" s="5"/>
    </row>
    <row r="364">
      <c r="A364" s="5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1"/>
      <c r="Z364" s="5"/>
    </row>
    <row r="365">
      <c r="A365" s="5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1"/>
      <c r="Z365" s="5"/>
    </row>
    <row r="366">
      <c r="A366" s="5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1"/>
      <c r="Z366" s="5"/>
    </row>
    <row r="367">
      <c r="A367" s="5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1"/>
      <c r="Z367" s="5"/>
    </row>
    <row r="368">
      <c r="A368" s="5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1"/>
      <c r="Z368" s="5"/>
    </row>
    <row r="369">
      <c r="A369" s="5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1"/>
      <c r="Z369" s="5"/>
    </row>
    <row r="370">
      <c r="A370" s="5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1"/>
      <c r="Z370" s="5"/>
    </row>
    <row r="371">
      <c r="A371" s="5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1"/>
      <c r="Z371" s="5"/>
    </row>
    <row r="372">
      <c r="A372" s="5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1"/>
      <c r="Z372" s="5"/>
    </row>
    <row r="373">
      <c r="A373" s="5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1"/>
      <c r="Z373" s="5"/>
    </row>
    <row r="374">
      <c r="A374" s="5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1"/>
      <c r="Z374" s="5"/>
    </row>
    <row r="375">
      <c r="A375" s="5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1"/>
      <c r="Z375" s="5"/>
    </row>
    <row r="376">
      <c r="A376" s="5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1"/>
      <c r="Z376" s="5"/>
    </row>
    <row r="377">
      <c r="A377" s="5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1"/>
      <c r="Z377" s="5"/>
    </row>
    <row r="378">
      <c r="A378" s="5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1"/>
      <c r="Z378" s="5"/>
    </row>
    <row r="379">
      <c r="A379" s="5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1"/>
      <c r="Z379" s="5"/>
    </row>
    <row r="380">
      <c r="A380" s="5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1"/>
      <c r="Z380" s="5"/>
    </row>
    <row r="381">
      <c r="A381" s="5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1"/>
      <c r="Z381" s="5"/>
    </row>
    <row r="382">
      <c r="A382" s="5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1"/>
      <c r="Z382" s="5"/>
    </row>
    <row r="383">
      <c r="A383" s="5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1"/>
      <c r="Z383" s="5"/>
    </row>
    <row r="384">
      <c r="A384" s="5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1"/>
      <c r="Z384" s="5"/>
    </row>
    <row r="385">
      <c r="A385" s="5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1"/>
      <c r="Z385" s="5"/>
    </row>
    <row r="386">
      <c r="A386" s="5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1"/>
      <c r="Z386" s="5"/>
    </row>
    <row r="387">
      <c r="A387" s="5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1"/>
      <c r="Z387" s="5"/>
    </row>
    <row r="388">
      <c r="A388" s="5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1"/>
      <c r="Z388" s="5"/>
    </row>
    <row r="389">
      <c r="A389" s="5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1"/>
      <c r="Z389" s="5"/>
    </row>
    <row r="390">
      <c r="A390" s="5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1"/>
      <c r="Z390" s="5"/>
    </row>
    <row r="391">
      <c r="A391" s="5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1"/>
      <c r="Z391" s="5"/>
    </row>
    <row r="392">
      <c r="A392" s="5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1"/>
      <c r="Z392" s="5"/>
    </row>
    <row r="393">
      <c r="A393" s="5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1"/>
      <c r="Z393" s="5"/>
    </row>
    <row r="394">
      <c r="A394" s="5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1"/>
      <c r="Z394" s="5"/>
    </row>
    <row r="395">
      <c r="A395" s="5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1"/>
      <c r="Z395" s="5"/>
    </row>
    <row r="396">
      <c r="A396" s="5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1"/>
      <c r="Z396" s="5"/>
    </row>
    <row r="397">
      <c r="A397" s="5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1"/>
      <c r="Z397" s="5"/>
    </row>
    <row r="398">
      <c r="A398" s="5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1"/>
      <c r="Z398" s="5"/>
    </row>
    <row r="399">
      <c r="A399" s="5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1"/>
      <c r="Z399" s="5"/>
    </row>
    <row r="400">
      <c r="A400" s="5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1"/>
      <c r="Z400" s="5"/>
    </row>
    <row r="401">
      <c r="A401" s="5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1"/>
      <c r="Z401" s="5"/>
    </row>
    <row r="402">
      <c r="A402" s="5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1"/>
      <c r="Z402" s="5"/>
    </row>
    <row r="403">
      <c r="A403" s="5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1"/>
      <c r="Z403" s="5"/>
    </row>
    <row r="404">
      <c r="A404" s="5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1"/>
      <c r="Z404" s="5"/>
    </row>
    <row r="405">
      <c r="A405" s="5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1"/>
      <c r="Z405" s="5"/>
    </row>
    <row r="406">
      <c r="A406" s="5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1"/>
      <c r="Z406" s="5"/>
    </row>
    <row r="407">
      <c r="A407" s="5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1"/>
      <c r="Z407" s="5"/>
    </row>
    <row r="408">
      <c r="A408" s="5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1"/>
      <c r="Z408" s="5"/>
    </row>
    <row r="409">
      <c r="A409" s="5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1"/>
      <c r="Z409" s="5"/>
    </row>
    <row r="410">
      <c r="A410" s="5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1"/>
      <c r="Z410" s="5"/>
    </row>
    <row r="411">
      <c r="A411" s="5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1"/>
      <c r="Z411" s="5"/>
    </row>
    <row r="412">
      <c r="A412" s="5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1"/>
      <c r="Z412" s="5"/>
    </row>
    <row r="413">
      <c r="A413" s="5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1"/>
      <c r="Z413" s="5"/>
    </row>
    <row r="414">
      <c r="A414" s="5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1"/>
      <c r="Z414" s="5"/>
    </row>
    <row r="415">
      <c r="A415" s="5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1"/>
      <c r="Z415" s="5"/>
    </row>
    <row r="416">
      <c r="A416" s="5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1"/>
      <c r="Z416" s="5"/>
    </row>
    <row r="417">
      <c r="A417" s="5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1"/>
      <c r="Z417" s="5"/>
    </row>
    <row r="418">
      <c r="A418" s="5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1"/>
      <c r="Z418" s="5"/>
    </row>
    <row r="419">
      <c r="A419" s="5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1"/>
      <c r="Z419" s="5"/>
    </row>
    <row r="420">
      <c r="A420" s="5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1"/>
      <c r="Z420" s="5"/>
    </row>
    <row r="421">
      <c r="A421" s="5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1"/>
      <c r="Z421" s="5"/>
    </row>
    <row r="422">
      <c r="A422" s="5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1"/>
      <c r="Z422" s="5"/>
    </row>
    <row r="423">
      <c r="A423" s="5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1"/>
      <c r="Z423" s="5"/>
    </row>
    <row r="424">
      <c r="A424" s="5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1"/>
      <c r="Z424" s="5"/>
    </row>
    <row r="425">
      <c r="A425" s="5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1"/>
      <c r="Z425" s="5"/>
    </row>
    <row r="426">
      <c r="A426" s="5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1"/>
      <c r="Z426" s="5"/>
    </row>
    <row r="427">
      <c r="A427" s="5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1"/>
      <c r="Z427" s="5"/>
    </row>
    <row r="428">
      <c r="A428" s="5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1"/>
      <c r="Z428" s="5"/>
    </row>
    <row r="429">
      <c r="A429" s="5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1"/>
      <c r="Z429" s="5"/>
    </row>
    <row r="430">
      <c r="A430" s="5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1"/>
      <c r="Z430" s="5"/>
    </row>
    <row r="431">
      <c r="A431" s="5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1"/>
      <c r="Z431" s="5"/>
    </row>
    <row r="432">
      <c r="A432" s="5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1"/>
      <c r="Z432" s="5"/>
    </row>
    <row r="433">
      <c r="A433" s="5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1"/>
      <c r="Z433" s="5"/>
    </row>
    <row r="434">
      <c r="A434" s="5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1"/>
      <c r="Z434" s="5"/>
    </row>
    <row r="435">
      <c r="A435" s="5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1"/>
      <c r="Z435" s="5"/>
    </row>
    <row r="436">
      <c r="A436" s="5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1"/>
      <c r="Z436" s="5"/>
    </row>
    <row r="437">
      <c r="A437" s="5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1"/>
      <c r="Z437" s="5"/>
    </row>
    <row r="438">
      <c r="A438" s="5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1"/>
      <c r="Z438" s="5"/>
    </row>
    <row r="439">
      <c r="A439" s="5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1"/>
      <c r="Z439" s="5"/>
    </row>
    <row r="440">
      <c r="A440" s="5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1"/>
      <c r="Z440" s="5"/>
    </row>
    <row r="441">
      <c r="A441" s="5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1"/>
      <c r="Z441" s="5"/>
    </row>
    <row r="442">
      <c r="A442" s="5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1"/>
      <c r="Z442" s="5"/>
    </row>
    <row r="443">
      <c r="A443" s="5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1"/>
      <c r="Z443" s="5"/>
    </row>
    <row r="444">
      <c r="A444" s="5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1"/>
      <c r="Z444" s="5"/>
    </row>
    <row r="445">
      <c r="A445" s="5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1"/>
      <c r="Z445" s="5"/>
    </row>
    <row r="446">
      <c r="A446" s="5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1"/>
      <c r="Z446" s="5"/>
    </row>
    <row r="447">
      <c r="A447" s="5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1"/>
      <c r="Z447" s="5"/>
    </row>
    <row r="448">
      <c r="A448" s="5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1"/>
      <c r="Z448" s="5"/>
    </row>
    <row r="449">
      <c r="A449" s="5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1"/>
      <c r="Z449" s="5"/>
    </row>
    <row r="450">
      <c r="A450" s="5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1"/>
      <c r="Z450" s="5"/>
    </row>
    <row r="451">
      <c r="A451" s="5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1"/>
      <c r="Z451" s="5"/>
    </row>
    <row r="452">
      <c r="A452" s="5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1"/>
      <c r="Z452" s="5"/>
    </row>
    <row r="453">
      <c r="A453" s="5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1"/>
      <c r="Z453" s="5"/>
    </row>
    <row r="454">
      <c r="A454" s="5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1"/>
      <c r="Z454" s="5"/>
    </row>
    <row r="455">
      <c r="A455" s="5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1"/>
      <c r="Z455" s="5"/>
    </row>
    <row r="456">
      <c r="A456" s="5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1"/>
      <c r="Z456" s="5"/>
    </row>
    <row r="457">
      <c r="A457" s="5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1"/>
      <c r="Z457" s="5"/>
    </row>
    <row r="458">
      <c r="A458" s="5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1"/>
      <c r="Z458" s="5"/>
    </row>
    <row r="459">
      <c r="A459" s="5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1"/>
      <c r="Z459" s="5"/>
    </row>
    <row r="460">
      <c r="A460" s="5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1"/>
      <c r="Z460" s="5"/>
    </row>
    <row r="461">
      <c r="A461" s="5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1"/>
      <c r="Z461" s="5"/>
    </row>
    <row r="462">
      <c r="A462" s="5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1"/>
      <c r="Z462" s="5"/>
    </row>
    <row r="463">
      <c r="A463" s="5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1"/>
      <c r="Z463" s="5"/>
    </row>
    <row r="464">
      <c r="A464" s="5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1"/>
      <c r="Z464" s="5"/>
    </row>
    <row r="465">
      <c r="A465" s="5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1"/>
      <c r="Z465" s="5"/>
    </row>
    <row r="466">
      <c r="A466" s="5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1"/>
      <c r="Z466" s="5"/>
    </row>
    <row r="467">
      <c r="A467" s="5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1"/>
      <c r="Z467" s="5"/>
    </row>
    <row r="468">
      <c r="A468" s="5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1"/>
      <c r="Z468" s="5"/>
    </row>
    <row r="469">
      <c r="A469" s="5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1"/>
      <c r="Z469" s="5"/>
    </row>
    <row r="470">
      <c r="A470" s="5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1"/>
      <c r="Z470" s="5"/>
    </row>
    <row r="471">
      <c r="A471" s="5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1"/>
      <c r="Z471" s="5"/>
    </row>
    <row r="472">
      <c r="A472" s="5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1"/>
      <c r="Z472" s="5"/>
    </row>
    <row r="473">
      <c r="A473" s="5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1"/>
      <c r="Z473" s="5"/>
    </row>
    <row r="474">
      <c r="A474" s="5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1"/>
      <c r="Z474" s="5"/>
    </row>
    <row r="475">
      <c r="A475" s="5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1"/>
      <c r="Z475" s="5"/>
    </row>
    <row r="476">
      <c r="A476" s="5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1"/>
      <c r="Z476" s="5"/>
    </row>
    <row r="477">
      <c r="A477" s="5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1"/>
      <c r="Z477" s="5"/>
    </row>
    <row r="478">
      <c r="A478" s="5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1"/>
      <c r="Z478" s="5"/>
    </row>
    <row r="479">
      <c r="A479" s="5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1"/>
      <c r="Z479" s="5"/>
    </row>
    <row r="480">
      <c r="A480" s="5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1"/>
      <c r="Z480" s="5"/>
    </row>
    <row r="481">
      <c r="A481" s="5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1"/>
      <c r="Z481" s="5"/>
    </row>
    <row r="482">
      <c r="A482" s="5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1"/>
      <c r="Z482" s="5"/>
    </row>
    <row r="483">
      <c r="A483" s="5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1"/>
      <c r="Z483" s="5"/>
    </row>
    <row r="484">
      <c r="A484" s="5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1"/>
      <c r="Z484" s="5"/>
    </row>
    <row r="485">
      <c r="A485" s="5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1"/>
      <c r="Z485" s="5"/>
    </row>
    <row r="486">
      <c r="A486" s="5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1"/>
      <c r="Z486" s="5"/>
    </row>
    <row r="487">
      <c r="A487" s="5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1"/>
      <c r="Z487" s="5"/>
    </row>
    <row r="488">
      <c r="A488" s="5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1"/>
      <c r="Z488" s="5"/>
    </row>
    <row r="489">
      <c r="A489" s="5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1"/>
      <c r="Z489" s="5"/>
    </row>
    <row r="490">
      <c r="A490" s="5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1"/>
      <c r="Z490" s="5"/>
    </row>
    <row r="491">
      <c r="A491" s="5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1"/>
      <c r="Z491" s="5"/>
    </row>
    <row r="492">
      <c r="A492" s="5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1"/>
      <c r="Z492" s="5"/>
    </row>
    <row r="493">
      <c r="A493" s="5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1"/>
      <c r="Z493" s="5"/>
    </row>
    <row r="494">
      <c r="A494" s="5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1"/>
      <c r="Z494" s="5"/>
    </row>
    <row r="495">
      <c r="A495" s="5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1"/>
      <c r="Z495" s="5"/>
    </row>
    <row r="496">
      <c r="A496" s="5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1"/>
      <c r="Z496" s="5"/>
    </row>
    <row r="497">
      <c r="A497" s="5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1"/>
      <c r="Z497" s="5"/>
    </row>
    <row r="498">
      <c r="A498" s="5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1"/>
      <c r="Z498" s="5"/>
    </row>
    <row r="499">
      <c r="A499" s="5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1"/>
      <c r="Z499" s="5"/>
    </row>
    <row r="500">
      <c r="A500" s="5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1"/>
      <c r="Z500" s="5"/>
    </row>
    <row r="50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71</v>
      </c>
      <c r="B1" s="18">
        <v>-50.0</v>
      </c>
      <c r="C1" s="18">
        <v>0.0</v>
      </c>
      <c r="D1" s="18">
        <v>50.0</v>
      </c>
      <c r="E1" s="18">
        <v>100.0</v>
      </c>
      <c r="F1" s="18">
        <v>150.0</v>
      </c>
      <c r="G1" s="18">
        <v>200.0</v>
      </c>
      <c r="H1" s="18">
        <v>250.0</v>
      </c>
      <c r="I1" s="18">
        <v>300.0</v>
      </c>
      <c r="J1" s="18">
        <v>350.0</v>
      </c>
      <c r="K1" s="18">
        <v>400.0</v>
      </c>
      <c r="L1" s="18">
        <v>450.0</v>
      </c>
      <c r="M1" s="18">
        <v>500.0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9" t="s">
        <v>2</v>
      </c>
      <c r="B2" s="20">
        <v>1.41</v>
      </c>
      <c r="C2" s="20">
        <v>1.43</v>
      </c>
      <c r="D2" s="20">
        <v>1.43</v>
      </c>
      <c r="E2" s="20">
        <v>1.41</v>
      </c>
      <c r="F2" s="20">
        <v>1.35</v>
      </c>
      <c r="G2" s="21"/>
      <c r="H2" s="21"/>
      <c r="I2" s="21"/>
      <c r="J2" s="21"/>
      <c r="K2" s="21"/>
      <c r="L2" s="21"/>
      <c r="M2" s="21"/>
      <c r="N2" s="2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9" t="s">
        <v>3</v>
      </c>
      <c r="B3" s="20">
        <v>1.2</v>
      </c>
      <c r="C3" s="20">
        <v>1.37</v>
      </c>
      <c r="D3" s="20">
        <v>1.43</v>
      </c>
      <c r="E3" s="20">
        <v>1.43</v>
      </c>
      <c r="F3" s="20">
        <v>1.33</v>
      </c>
      <c r="G3" s="20">
        <v>1.11</v>
      </c>
      <c r="H3" s="20">
        <v>0.65</v>
      </c>
      <c r="I3" s="20">
        <v>0.36</v>
      </c>
      <c r="J3" s="20">
        <v>0.3</v>
      </c>
      <c r="K3" s="20">
        <v>0.27</v>
      </c>
      <c r="L3" s="20">
        <v>0.25</v>
      </c>
      <c r="M3" s="20">
        <v>0.22</v>
      </c>
      <c r="N3" s="2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9" t="s">
        <v>4</v>
      </c>
      <c r="B4" s="20">
        <v>1.03</v>
      </c>
      <c r="C4" s="20">
        <v>1.13</v>
      </c>
      <c r="D4" s="20">
        <v>1.2</v>
      </c>
      <c r="E4" s="20">
        <v>1.24</v>
      </c>
      <c r="F4" s="20">
        <v>1.29</v>
      </c>
      <c r="G4" s="20">
        <v>1.31</v>
      </c>
      <c r="H4" s="20">
        <v>1.29</v>
      </c>
      <c r="I4" s="20">
        <v>0.88</v>
      </c>
      <c r="J4" s="20">
        <v>0.52</v>
      </c>
      <c r="K4" s="20">
        <v>0.45</v>
      </c>
      <c r="L4" s="20">
        <v>0.42</v>
      </c>
      <c r="M4" s="20">
        <v>0.36</v>
      </c>
      <c r="N4" s="2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9" t="s">
        <v>5</v>
      </c>
      <c r="B5" s="20">
        <v>0.91</v>
      </c>
      <c r="C5" s="20">
        <v>1.02</v>
      </c>
      <c r="D5" s="20">
        <v>1.14</v>
      </c>
      <c r="E5" s="20">
        <v>1.18</v>
      </c>
      <c r="F5" s="20">
        <v>1.24</v>
      </c>
      <c r="G5" s="20">
        <v>1.26</v>
      </c>
      <c r="H5" s="20">
        <v>1.27</v>
      </c>
      <c r="I5" s="20">
        <v>1.25</v>
      </c>
      <c r="J5" s="20">
        <v>0.96</v>
      </c>
      <c r="K5" s="20">
        <v>0.62</v>
      </c>
      <c r="L5" s="20">
        <v>0.47</v>
      </c>
      <c r="M5" s="20">
        <v>0.43</v>
      </c>
      <c r="N5" s="2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9" t="s">
        <v>6</v>
      </c>
      <c r="B6" s="20">
        <v>1.14</v>
      </c>
      <c r="C6" s="20">
        <v>1.25</v>
      </c>
      <c r="D6" s="20">
        <v>1.32</v>
      </c>
      <c r="E6" s="20">
        <v>1.39</v>
      </c>
      <c r="F6" s="20">
        <v>1.39</v>
      </c>
      <c r="G6" s="20">
        <v>1.39</v>
      </c>
      <c r="H6" s="20">
        <v>1.22</v>
      </c>
      <c r="I6" s="20">
        <v>0.87</v>
      </c>
      <c r="J6" s="20">
        <v>0.6</v>
      </c>
      <c r="K6" s="20">
        <v>0.45</v>
      </c>
      <c r="L6" s="20">
        <v>0.33</v>
      </c>
      <c r="M6" s="20">
        <v>0.31</v>
      </c>
      <c r="N6" s="2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9" t="s">
        <v>7</v>
      </c>
      <c r="B7" s="20">
        <v>0.36</v>
      </c>
      <c r="C7" s="20">
        <v>0.42</v>
      </c>
      <c r="D7" s="20">
        <v>0.44</v>
      </c>
      <c r="E7" s="20">
        <v>0.46</v>
      </c>
      <c r="F7" s="20">
        <v>0.45</v>
      </c>
      <c r="G7" s="20">
        <v>0.37</v>
      </c>
      <c r="H7" s="20">
        <v>0.32</v>
      </c>
      <c r="I7" s="20">
        <v>0.29</v>
      </c>
      <c r="J7" s="20">
        <v>0.2</v>
      </c>
      <c r="K7" s="21"/>
      <c r="L7" s="21"/>
      <c r="M7" s="21"/>
      <c r="N7" s="2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9" t="s">
        <v>8</v>
      </c>
      <c r="B8" s="20">
        <v>1.43</v>
      </c>
      <c r="C8" s="20">
        <v>1.71</v>
      </c>
      <c r="D8" s="20">
        <v>1.76</v>
      </c>
      <c r="E8" s="20">
        <v>1.77</v>
      </c>
      <c r="F8" s="20">
        <v>1.77</v>
      </c>
      <c r="G8" s="20">
        <v>1.74</v>
      </c>
      <c r="H8" s="20">
        <v>1.32</v>
      </c>
      <c r="I8" s="20">
        <v>1.2</v>
      </c>
      <c r="J8" s="21"/>
      <c r="K8" s="21"/>
      <c r="L8" s="21"/>
      <c r="M8" s="21"/>
      <c r="N8" s="2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9" t="s">
        <v>9</v>
      </c>
      <c r="B9" s="20">
        <v>0.97</v>
      </c>
      <c r="C9" s="20">
        <v>1.07</v>
      </c>
      <c r="D9" s="20">
        <v>1.08</v>
      </c>
      <c r="E9" s="20">
        <v>1.09</v>
      </c>
      <c r="F9" s="20">
        <v>1.01</v>
      </c>
      <c r="G9" s="20">
        <v>0.82</v>
      </c>
      <c r="H9" s="20">
        <v>0.4</v>
      </c>
      <c r="I9" s="20">
        <v>0.24</v>
      </c>
      <c r="J9" s="20">
        <v>0.16</v>
      </c>
      <c r="K9" s="20">
        <v>0.15</v>
      </c>
      <c r="L9" s="20">
        <v>0.15</v>
      </c>
      <c r="M9" s="20">
        <v>0.15</v>
      </c>
      <c r="N9" s="2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9" t="s">
        <v>10</v>
      </c>
      <c r="B10" s="20">
        <v>1.09</v>
      </c>
      <c r="C10" s="20">
        <v>1.22</v>
      </c>
      <c r="D10" s="20">
        <v>1.24</v>
      </c>
      <c r="E10" s="20">
        <v>1.22</v>
      </c>
      <c r="F10" s="20">
        <v>1.19</v>
      </c>
      <c r="G10" s="20">
        <v>0.94</v>
      </c>
      <c r="H10" s="20">
        <v>0.53</v>
      </c>
      <c r="I10" s="20">
        <v>0.31</v>
      </c>
      <c r="J10" s="20">
        <v>0.24</v>
      </c>
      <c r="K10" s="20">
        <v>0.22</v>
      </c>
      <c r="L10" s="20">
        <v>0.18</v>
      </c>
      <c r="M10" s="20">
        <v>0.16</v>
      </c>
      <c r="N10" s="2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 t="s">
        <v>11</v>
      </c>
      <c r="B11" s="20">
        <v>1.13</v>
      </c>
      <c r="C11" s="20">
        <v>1.29</v>
      </c>
      <c r="D11" s="20">
        <v>1.31</v>
      </c>
      <c r="E11" s="20">
        <v>1.3</v>
      </c>
      <c r="F11" s="20">
        <v>1.24</v>
      </c>
      <c r="G11" s="20">
        <v>1.0</v>
      </c>
      <c r="H11" s="20">
        <v>0.51</v>
      </c>
      <c r="I11" s="20">
        <v>0.35</v>
      </c>
      <c r="J11" s="20">
        <v>0.25</v>
      </c>
      <c r="K11" s="20">
        <v>0.18</v>
      </c>
      <c r="L11" s="20">
        <v>0.16</v>
      </c>
      <c r="M11" s="20">
        <v>0.15</v>
      </c>
      <c r="N11" s="2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 t="s">
        <v>12</v>
      </c>
      <c r="B12" s="20">
        <v>1.16</v>
      </c>
      <c r="C12" s="20">
        <v>1.35</v>
      </c>
      <c r="D12" s="20">
        <v>1.35</v>
      </c>
      <c r="E12" s="20">
        <v>1.35</v>
      </c>
      <c r="F12" s="20">
        <v>1.29</v>
      </c>
      <c r="G12" s="20">
        <v>1.04</v>
      </c>
      <c r="H12" s="20">
        <v>0.52</v>
      </c>
      <c r="I12" s="20">
        <v>0.36</v>
      </c>
      <c r="J12" s="20">
        <v>0.27</v>
      </c>
      <c r="K12" s="20">
        <v>0.2</v>
      </c>
      <c r="L12" s="20">
        <v>0.17</v>
      </c>
      <c r="M12" s="20">
        <v>0.15</v>
      </c>
      <c r="N12" s="2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 t="s">
        <v>13</v>
      </c>
      <c r="B13" s="20">
        <v>1.18</v>
      </c>
      <c r="C13" s="20">
        <v>1.36</v>
      </c>
      <c r="D13" s="20">
        <v>1.37</v>
      </c>
      <c r="E13" s="20">
        <v>1.38</v>
      </c>
      <c r="F13" s="20">
        <v>1.29</v>
      </c>
      <c r="G13" s="20">
        <v>1.07</v>
      </c>
      <c r="H13" s="20">
        <v>0.48</v>
      </c>
      <c r="I13" s="20">
        <v>0.3</v>
      </c>
      <c r="J13" s="20">
        <v>0.25</v>
      </c>
      <c r="K13" s="20">
        <v>0.24</v>
      </c>
      <c r="L13" s="20">
        <v>0.21</v>
      </c>
      <c r="M13" s="20">
        <v>0.17</v>
      </c>
      <c r="N13" s="2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9" t="s">
        <v>14</v>
      </c>
      <c r="B14" s="20">
        <v>1.24</v>
      </c>
      <c r="C14" s="20">
        <v>1.35</v>
      </c>
      <c r="D14" s="20">
        <v>1.4</v>
      </c>
      <c r="E14" s="20">
        <v>1.4</v>
      </c>
      <c r="F14" s="20">
        <v>1.33</v>
      </c>
      <c r="G14" s="20">
        <v>1.07</v>
      </c>
      <c r="H14" s="20">
        <v>0.64</v>
      </c>
      <c r="I14" s="20">
        <v>0.42</v>
      </c>
      <c r="J14" s="20">
        <v>0.33</v>
      </c>
      <c r="K14" s="20">
        <v>0.28</v>
      </c>
      <c r="L14" s="20">
        <v>0.26</v>
      </c>
      <c r="M14" s="20">
        <v>0.23</v>
      </c>
      <c r="N14" s="2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9" t="s">
        <v>15</v>
      </c>
      <c r="B15" s="20">
        <v>1.26</v>
      </c>
      <c r="C15" s="20">
        <v>1.38</v>
      </c>
      <c r="D15" s="20">
        <v>1.42</v>
      </c>
      <c r="E15" s="20">
        <v>1.42</v>
      </c>
      <c r="F15" s="20">
        <v>1.35</v>
      </c>
      <c r="G15" s="20">
        <v>1.07</v>
      </c>
      <c r="H15" s="20">
        <v>0.64</v>
      </c>
      <c r="I15" s="20">
        <v>0.42</v>
      </c>
      <c r="J15" s="20">
        <v>0.33</v>
      </c>
      <c r="K15" s="20">
        <v>0.28</v>
      </c>
      <c r="L15" s="20">
        <v>0.26</v>
      </c>
      <c r="M15" s="20">
        <v>0.23</v>
      </c>
      <c r="N15" s="2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16</v>
      </c>
      <c r="B16" s="20">
        <v>1.29</v>
      </c>
      <c r="C16" s="20">
        <v>1.4</v>
      </c>
      <c r="D16" s="20">
        <v>1.43</v>
      </c>
      <c r="E16" s="20">
        <v>1.41</v>
      </c>
      <c r="F16" s="20">
        <v>1.34</v>
      </c>
      <c r="G16" s="20">
        <v>1.06</v>
      </c>
      <c r="H16" s="20">
        <v>0.61</v>
      </c>
      <c r="I16" s="20">
        <v>0.31</v>
      </c>
      <c r="J16" s="20">
        <v>0.29</v>
      </c>
      <c r="K16" s="20">
        <v>0.26</v>
      </c>
      <c r="L16" s="20">
        <v>0.23</v>
      </c>
      <c r="M16" s="20">
        <v>0.21</v>
      </c>
      <c r="N16" s="2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9" t="s">
        <v>17</v>
      </c>
      <c r="B17" s="20">
        <v>1.29</v>
      </c>
      <c r="C17" s="20">
        <v>1.4</v>
      </c>
      <c r="D17" s="20">
        <v>1.43</v>
      </c>
      <c r="E17" s="20">
        <v>1.41</v>
      </c>
      <c r="F17" s="20">
        <v>1.34</v>
      </c>
      <c r="G17" s="20">
        <v>1.06</v>
      </c>
      <c r="H17" s="20">
        <v>0.61</v>
      </c>
      <c r="I17" s="20">
        <v>1.31</v>
      </c>
      <c r="J17" s="20">
        <v>0.29</v>
      </c>
      <c r="K17" s="20">
        <v>0.26</v>
      </c>
      <c r="L17" s="20">
        <v>0.23</v>
      </c>
      <c r="M17" s="20">
        <v>0.21</v>
      </c>
      <c r="N17" s="2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 t="s">
        <v>18</v>
      </c>
      <c r="B18" s="20">
        <v>1.3</v>
      </c>
      <c r="C18" s="20">
        <v>1.42</v>
      </c>
      <c r="D18" s="20">
        <v>1.47</v>
      </c>
      <c r="E18" s="20">
        <v>1.46</v>
      </c>
      <c r="F18" s="20">
        <v>1.37</v>
      </c>
      <c r="G18" s="20">
        <v>0.97</v>
      </c>
      <c r="H18" s="20">
        <v>0.62</v>
      </c>
      <c r="I18" s="20">
        <v>0.37</v>
      </c>
      <c r="J18" s="20">
        <v>0.24</v>
      </c>
      <c r="K18" s="20">
        <v>0.18</v>
      </c>
      <c r="L18" s="20">
        <v>0.14</v>
      </c>
      <c r="M18" s="20">
        <v>0.12</v>
      </c>
      <c r="N18" s="2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 t="s">
        <v>19</v>
      </c>
      <c r="B19" s="20">
        <v>0.95</v>
      </c>
      <c r="C19" s="20">
        <v>1.08</v>
      </c>
      <c r="D19" s="20">
        <v>1.16</v>
      </c>
      <c r="E19" s="20">
        <v>1.2</v>
      </c>
      <c r="F19" s="20">
        <v>1.26</v>
      </c>
      <c r="G19" s="20">
        <v>1.32</v>
      </c>
      <c r="H19" s="20">
        <v>1.39</v>
      </c>
      <c r="I19" s="20">
        <v>1.41</v>
      </c>
      <c r="J19" s="20">
        <v>1.11</v>
      </c>
      <c r="K19" s="20">
        <v>0.58</v>
      </c>
      <c r="L19" s="20">
        <v>0.25</v>
      </c>
      <c r="M19" s="20">
        <v>0.21</v>
      </c>
      <c r="N19" s="2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 t="s">
        <v>20</v>
      </c>
      <c r="B20" s="20">
        <v>1.13</v>
      </c>
      <c r="C20" s="20">
        <v>1.3</v>
      </c>
      <c r="D20" s="20">
        <v>1.36</v>
      </c>
      <c r="E20" s="20">
        <v>1.42</v>
      </c>
      <c r="F20" s="20">
        <v>1.45</v>
      </c>
      <c r="G20" s="20">
        <v>1.45</v>
      </c>
      <c r="H20" s="20">
        <v>1.19</v>
      </c>
      <c r="I20" s="20">
        <v>0.7</v>
      </c>
      <c r="J20" s="20">
        <v>0.43</v>
      </c>
      <c r="K20" s="20">
        <v>0.3</v>
      </c>
      <c r="L20" s="20">
        <v>0.18</v>
      </c>
      <c r="M20" s="20">
        <v>0.16</v>
      </c>
      <c r="N20" s="2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9" t="s">
        <v>21</v>
      </c>
      <c r="B21" s="20">
        <v>1.22</v>
      </c>
      <c r="C21" s="20">
        <v>1.36</v>
      </c>
      <c r="D21" s="20">
        <v>1.38</v>
      </c>
      <c r="E21" s="20">
        <v>1.35</v>
      </c>
      <c r="F21" s="20">
        <v>1.31</v>
      </c>
      <c r="G21" s="20">
        <v>1.07</v>
      </c>
      <c r="H21" s="20">
        <v>0.66</v>
      </c>
      <c r="I21" s="20">
        <v>0.46</v>
      </c>
      <c r="J21" s="20">
        <v>0.38</v>
      </c>
      <c r="K21" s="20">
        <v>0.33</v>
      </c>
      <c r="L21" s="20">
        <v>0.32</v>
      </c>
      <c r="M21" s="20">
        <v>0.31</v>
      </c>
      <c r="N21" s="2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9" t="s">
        <v>22</v>
      </c>
      <c r="B22" s="20">
        <v>1.19</v>
      </c>
      <c r="C22" s="20">
        <v>1.3</v>
      </c>
      <c r="D22" s="20">
        <v>1.33</v>
      </c>
      <c r="E22" s="20">
        <v>1.29</v>
      </c>
      <c r="F22" s="20">
        <v>1.27</v>
      </c>
      <c r="G22" s="20">
        <v>0.95</v>
      </c>
      <c r="H22" s="20">
        <v>0.52</v>
      </c>
      <c r="I22" s="20">
        <v>0.31</v>
      </c>
      <c r="J22" s="20">
        <v>0.24</v>
      </c>
      <c r="K22" s="20">
        <v>0.21</v>
      </c>
      <c r="L22" s="20">
        <v>0.18</v>
      </c>
      <c r="M22" s="20">
        <v>0.16</v>
      </c>
      <c r="N22" s="2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9" t="s">
        <v>23</v>
      </c>
      <c r="B23" s="20">
        <v>0.78</v>
      </c>
      <c r="C23" s="20">
        <v>0.88</v>
      </c>
      <c r="D23" s="20">
        <v>0.97</v>
      </c>
      <c r="E23" s="20">
        <v>1.04</v>
      </c>
      <c r="F23" s="20">
        <v>1.11</v>
      </c>
      <c r="G23" s="20">
        <v>1.15</v>
      </c>
      <c r="H23" s="20">
        <v>1.15</v>
      </c>
      <c r="I23" s="20">
        <v>1.15</v>
      </c>
      <c r="J23" s="20">
        <v>0.92</v>
      </c>
      <c r="K23" s="20">
        <v>0.48</v>
      </c>
      <c r="L23" s="20">
        <v>0.34</v>
      </c>
      <c r="M23" s="20">
        <v>0.27</v>
      </c>
      <c r="N23" s="2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 t="s">
        <v>24</v>
      </c>
      <c r="B24" s="20">
        <v>0.6</v>
      </c>
      <c r="C24" s="20">
        <v>0.7</v>
      </c>
      <c r="D24" s="20">
        <v>0.76</v>
      </c>
      <c r="E24" s="20">
        <v>0.83</v>
      </c>
      <c r="F24" s="20">
        <v>0.92</v>
      </c>
      <c r="G24" s="20">
        <v>0.96</v>
      </c>
      <c r="H24" s="20">
        <v>1.01</v>
      </c>
      <c r="I24" s="20">
        <v>1.02</v>
      </c>
      <c r="J24" s="20">
        <v>1.02</v>
      </c>
      <c r="K24" s="20">
        <v>0.76</v>
      </c>
      <c r="L24" s="20">
        <v>0.45</v>
      </c>
      <c r="M24" s="20">
        <v>0.31</v>
      </c>
      <c r="N24" s="2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9" t="s">
        <v>25</v>
      </c>
      <c r="B25" s="20">
        <v>0.45</v>
      </c>
      <c r="C25" s="20">
        <v>0.52</v>
      </c>
      <c r="D25" s="20">
        <v>0.55</v>
      </c>
      <c r="E25" s="20">
        <v>0.63</v>
      </c>
      <c r="F25" s="20">
        <v>0.68</v>
      </c>
      <c r="G25" s="20">
        <v>0.72</v>
      </c>
      <c r="H25" s="20">
        <v>0.77</v>
      </c>
      <c r="I25" s="20">
        <v>0.78</v>
      </c>
      <c r="J25" s="20">
        <v>0.79</v>
      </c>
      <c r="K25" s="20">
        <v>0.78</v>
      </c>
      <c r="L25" s="20">
        <v>0.69</v>
      </c>
      <c r="M25" s="20">
        <v>0.52</v>
      </c>
      <c r="N25" s="2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 t="s">
        <v>26</v>
      </c>
      <c r="B26" s="20">
        <v>0.6</v>
      </c>
      <c r="C26" s="20">
        <v>0.69</v>
      </c>
      <c r="D26" s="20">
        <v>0.69</v>
      </c>
      <c r="E26" s="20">
        <v>0.64</v>
      </c>
      <c r="F26" s="20">
        <v>0.6</v>
      </c>
      <c r="G26" s="20">
        <v>0.45</v>
      </c>
      <c r="H26" s="20">
        <v>0.36</v>
      </c>
      <c r="I26" s="20">
        <v>0.27</v>
      </c>
      <c r="J26" s="20">
        <v>0.12</v>
      </c>
      <c r="K26" s="21"/>
      <c r="L26" s="21"/>
      <c r="M26" s="21"/>
      <c r="N26" s="2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9" t="s">
        <v>27</v>
      </c>
      <c r="B27" s="20">
        <v>1.09</v>
      </c>
      <c r="C27" s="20">
        <v>1.18</v>
      </c>
      <c r="D27" s="20">
        <v>1.22</v>
      </c>
      <c r="E27" s="20">
        <v>1.21</v>
      </c>
      <c r="F27" s="20">
        <v>1.13</v>
      </c>
      <c r="G27" s="20">
        <v>0.89</v>
      </c>
      <c r="H27" s="20">
        <v>0.46</v>
      </c>
      <c r="I27" s="20">
        <v>0.32</v>
      </c>
      <c r="J27" s="20">
        <v>0.19</v>
      </c>
      <c r="K27" s="21"/>
      <c r="L27" s="21"/>
      <c r="M27" s="21"/>
      <c r="N27" s="2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28</v>
      </c>
      <c r="B28" s="20">
        <v>1.14</v>
      </c>
      <c r="C28" s="20">
        <v>1.26</v>
      </c>
      <c r="D28" s="20">
        <v>1.29</v>
      </c>
      <c r="E28" s="20">
        <v>1.28</v>
      </c>
      <c r="F28" s="20">
        <v>1.19</v>
      </c>
      <c r="G28" s="20">
        <v>0.93</v>
      </c>
      <c r="H28" s="20">
        <v>0.5</v>
      </c>
      <c r="I28" s="20">
        <v>0.3</v>
      </c>
      <c r="J28" s="20">
        <v>0.18</v>
      </c>
      <c r="K28" s="21"/>
      <c r="L28" s="21"/>
      <c r="M28" s="21"/>
      <c r="N28" s="2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9" t="s">
        <v>29</v>
      </c>
      <c r="B29" s="20">
        <v>1.23</v>
      </c>
      <c r="C29" s="20">
        <v>1.31</v>
      </c>
      <c r="D29" s="20">
        <v>1.33</v>
      </c>
      <c r="E29" s="20">
        <v>1.31</v>
      </c>
      <c r="F29" s="20">
        <v>1.21</v>
      </c>
      <c r="G29" s="20">
        <v>0.93</v>
      </c>
      <c r="H29" s="20">
        <v>0.5</v>
      </c>
      <c r="I29" s="20">
        <v>0.31</v>
      </c>
      <c r="J29" s="20">
        <v>0.18</v>
      </c>
      <c r="K29" s="21"/>
      <c r="L29" s="21"/>
      <c r="M29" s="21"/>
      <c r="N29" s="2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9" t="s">
        <v>30</v>
      </c>
      <c r="B30" s="20">
        <v>1.24</v>
      </c>
      <c r="C30" s="20">
        <v>1.35</v>
      </c>
      <c r="D30" s="20">
        <v>1.36</v>
      </c>
      <c r="E30" s="20">
        <v>1.34</v>
      </c>
      <c r="F30" s="20">
        <v>1.24</v>
      </c>
      <c r="G30" s="20">
        <v>0.92</v>
      </c>
      <c r="H30" s="20">
        <v>0.51</v>
      </c>
      <c r="I30" s="20">
        <v>0.34</v>
      </c>
      <c r="J30" s="20">
        <v>0.2</v>
      </c>
      <c r="K30" s="21"/>
      <c r="L30" s="21"/>
      <c r="M30" s="21"/>
      <c r="N30" s="2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9" t="s">
        <v>31</v>
      </c>
      <c r="B31" s="20">
        <v>1.25</v>
      </c>
      <c r="C31" s="20">
        <v>1.35</v>
      </c>
      <c r="D31" s="20">
        <v>1.37</v>
      </c>
      <c r="E31" s="20">
        <v>1.35</v>
      </c>
      <c r="F31" s="20">
        <v>1.29</v>
      </c>
      <c r="G31" s="20">
        <v>0.95</v>
      </c>
      <c r="H31" s="20">
        <v>0.53</v>
      </c>
      <c r="I31" s="20">
        <v>0.37</v>
      </c>
      <c r="J31" s="20">
        <v>0.22</v>
      </c>
      <c r="K31" s="21"/>
      <c r="L31" s="21"/>
      <c r="M31" s="21"/>
      <c r="N31" s="2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9" t="s">
        <v>32</v>
      </c>
      <c r="B32" s="20">
        <v>1.28</v>
      </c>
      <c r="C32" s="20">
        <v>1.37</v>
      </c>
      <c r="D32" s="20">
        <v>1.39</v>
      </c>
      <c r="E32" s="20">
        <v>1.38</v>
      </c>
      <c r="F32" s="20">
        <v>1.3</v>
      </c>
      <c r="G32" s="20">
        <v>0.96</v>
      </c>
      <c r="H32" s="20">
        <v>0.55</v>
      </c>
      <c r="I32" s="20">
        <v>0.37</v>
      </c>
      <c r="J32" s="20">
        <v>0.23</v>
      </c>
      <c r="K32" s="21"/>
      <c r="L32" s="21"/>
      <c r="M32" s="21"/>
      <c r="N32" s="2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9" t="s">
        <v>33</v>
      </c>
      <c r="B33" s="20">
        <v>1.27</v>
      </c>
      <c r="C33" s="20">
        <v>1.38</v>
      </c>
      <c r="D33" s="20">
        <v>1.39</v>
      </c>
      <c r="E33" s="20">
        <v>1.37</v>
      </c>
      <c r="F33" s="20">
        <v>1.28</v>
      </c>
      <c r="G33" s="20">
        <v>0.95</v>
      </c>
      <c r="H33" s="20">
        <v>0.55</v>
      </c>
      <c r="I33" s="20">
        <v>0.38</v>
      </c>
      <c r="J33" s="20">
        <v>0.24</v>
      </c>
      <c r="K33" s="21"/>
      <c r="L33" s="21"/>
      <c r="M33" s="21"/>
      <c r="N33" s="2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9" t="s">
        <v>34</v>
      </c>
      <c r="B34" s="20">
        <v>1.29</v>
      </c>
      <c r="C34" s="20">
        <v>1.4</v>
      </c>
      <c r="D34" s="20">
        <v>1.4</v>
      </c>
      <c r="E34" s="20">
        <v>1.37</v>
      </c>
      <c r="F34" s="20">
        <v>1.29</v>
      </c>
      <c r="G34" s="20">
        <v>0.95</v>
      </c>
      <c r="H34" s="20">
        <v>0.56</v>
      </c>
      <c r="I34" s="20">
        <v>0.38</v>
      </c>
      <c r="J34" s="20">
        <v>0.24</v>
      </c>
      <c r="K34" s="21"/>
      <c r="L34" s="21"/>
      <c r="M34" s="21"/>
      <c r="N34" s="2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9" t="s">
        <v>35</v>
      </c>
      <c r="B35" s="20">
        <v>1.31</v>
      </c>
      <c r="C35" s="20">
        <v>1.38</v>
      </c>
      <c r="D35" s="20">
        <v>1.42</v>
      </c>
      <c r="E35" s="20">
        <v>1.39</v>
      </c>
      <c r="F35" s="20">
        <v>1.31</v>
      </c>
      <c r="G35" s="20">
        <v>1.02</v>
      </c>
      <c r="H35" s="20">
        <v>0.57</v>
      </c>
      <c r="I35" s="20">
        <v>0.38</v>
      </c>
      <c r="J35" s="20">
        <v>0.26</v>
      </c>
      <c r="K35" s="21"/>
      <c r="L35" s="21"/>
      <c r="M35" s="21"/>
      <c r="N35" s="2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9" t="s">
        <v>36</v>
      </c>
      <c r="B36" s="20">
        <v>1.31</v>
      </c>
      <c r="C36" s="20">
        <v>1.38</v>
      </c>
      <c r="D36" s="20">
        <v>1.42</v>
      </c>
      <c r="E36" s="20">
        <v>1.4</v>
      </c>
      <c r="F36" s="20">
        <v>1.32</v>
      </c>
      <c r="G36" s="20">
        <v>1.05</v>
      </c>
      <c r="H36" s="20">
        <v>0.62</v>
      </c>
      <c r="I36" s="20">
        <v>0.39</v>
      </c>
      <c r="J36" s="20">
        <v>0.28</v>
      </c>
      <c r="K36" s="21"/>
      <c r="L36" s="21"/>
      <c r="M36" s="21"/>
      <c r="N36" s="2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9" t="s">
        <v>37</v>
      </c>
      <c r="B37" s="20">
        <v>1.31</v>
      </c>
      <c r="C37" s="20">
        <v>1.76</v>
      </c>
      <c r="D37" s="20">
        <v>1.81</v>
      </c>
      <c r="E37" s="20">
        <v>1.82</v>
      </c>
      <c r="F37" s="20">
        <v>1.82</v>
      </c>
      <c r="G37" s="20">
        <v>1.79</v>
      </c>
      <c r="H37" s="20">
        <v>1.36</v>
      </c>
      <c r="I37" s="20">
        <v>1.23</v>
      </c>
      <c r="J37" s="21"/>
      <c r="K37" s="21"/>
      <c r="L37" s="21"/>
      <c r="M37" s="21"/>
      <c r="N37" s="2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9" t="s">
        <v>38</v>
      </c>
      <c r="B38" s="20">
        <v>1.26</v>
      </c>
      <c r="C38" s="20">
        <v>1.32</v>
      </c>
      <c r="D38" s="20">
        <v>1.33</v>
      </c>
      <c r="E38" s="20">
        <v>1.31</v>
      </c>
      <c r="F38" s="20">
        <v>1.26</v>
      </c>
      <c r="G38" s="20">
        <v>0.97</v>
      </c>
      <c r="H38" s="20">
        <v>0.62</v>
      </c>
      <c r="I38" s="20">
        <v>0.41</v>
      </c>
      <c r="J38" s="20">
        <v>0.27</v>
      </c>
      <c r="K38" s="20">
        <v>0.18</v>
      </c>
      <c r="L38" s="20">
        <v>0.11</v>
      </c>
      <c r="M38" s="20">
        <v>0.08</v>
      </c>
      <c r="N38" s="2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9" t="s">
        <v>39</v>
      </c>
      <c r="B39" s="20">
        <v>0.79</v>
      </c>
      <c r="C39" s="20">
        <v>0.91</v>
      </c>
      <c r="D39" s="20">
        <v>0.96</v>
      </c>
      <c r="E39" s="20">
        <v>1.05</v>
      </c>
      <c r="F39" s="20">
        <v>1.14</v>
      </c>
      <c r="G39" s="20">
        <v>1.15</v>
      </c>
      <c r="H39" s="20">
        <v>1.15</v>
      </c>
      <c r="I39" s="20">
        <v>1.1</v>
      </c>
      <c r="J39" s="20">
        <v>0.65</v>
      </c>
      <c r="K39" s="20">
        <v>0.5</v>
      </c>
      <c r="L39" s="20">
        <v>0.44</v>
      </c>
      <c r="M39" s="20">
        <v>0.35</v>
      </c>
      <c r="N39" s="2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9" t="s">
        <v>40</v>
      </c>
      <c r="B40" s="20">
        <v>0.58</v>
      </c>
      <c r="C40" s="20">
        <v>0.58</v>
      </c>
      <c r="D40" s="20">
        <v>0.58</v>
      </c>
      <c r="E40" s="20">
        <v>0.58</v>
      </c>
      <c r="F40" s="20">
        <v>0.58</v>
      </c>
      <c r="G40" s="20">
        <v>0.58</v>
      </c>
      <c r="H40" s="20">
        <v>0.58</v>
      </c>
      <c r="I40" s="20">
        <v>0.58</v>
      </c>
      <c r="J40" s="20">
        <v>0.58</v>
      </c>
      <c r="K40" s="20">
        <v>0.58</v>
      </c>
      <c r="L40" s="20">
        <v>0.52</v>
      </c>
      <c r="M40" s="20">
        <v>0.41</v>
      </c>
      <c r="N40" s="2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9" t="s">
        <v>41</v>
      </c>
      <c r="B41" s="20">
        <v>0.91</v>
      </c>
      <c r="C41" s="20">
        <v>0.97</v>
      </c>
      <c r="D41" s="20">
        <v>0.99</v>
      </c>
      <c r="E41" s="20">
        <v>0.97</v>
      </c>
      <c r="F41" s="20">
        <v>0.95</v>
      </c>
      <c r="G41" s="20">
        <v>0.61</v>
      </c>
      <c r="H41" s="20">
        <v>0.43</v>
      </c>
      <c r="I41" s="20">
        <v>0.26</v>
      </c>
      <c r="J41" s="20">
        <v>0.21</v>
      </c>
      <c r="K41" s="20">
        <v>0.17</v>
      </c>
      <c r="L41" s="20">
        <v>0.14</v>
      </c>
      <c r="M41" s="20">
        <v>0.12</v>
      </c>
      <c r="N41" s="2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9" t="s">
        <v>42</v>
      </c>
      <c r="B42" s="20">
        <v>1.18</v>
      </c>
      <c r="C42" s="20">
        <v>1.26</v>
      </c>
      <c r="D42" s="20">
        <v>1.29</v>
      </c>
      <c r="E42" s="20">
        <v>1.28</v>
      </c>
      <c r="F42" s="20">
        <v>1.24</v>
      </c>
      <c r="G42" s="20">
        <v>0.85</v>
      </c>
      <c r="H42" s="20">
        <v>0.46</v>
      </c>
      <c r="I42" s="20">
        <v>0.28</v>
      </c>
      <c r="J42" s="21"/>
      <c r="K42" s="21"/>
      <c r="L42" s="21"/>
      <c r="M42" s="21"/>
      <c r="N42" s="2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9" t="s">
        <v>43</v>
      </c>
      <c r="B43" s="20">
        <v>0.53</v>
      </c>
      <c r="C43" s="20">
        <v>0.53</v>
      </c>
      <c r="D43" s="20">
        <v>0.53</v>
      </c>
      <c r="E43" s="20">
        <v>0.53</v>
      </c>
      <c r="F43" s="20">
        <v>0.53</v>
      </c>
      <c r="G43" s="20">
        <v>0.53</v>
      </c>
      <c r="H43" s="20">
        <v>0.53</v>
      </c>
      <c r="I43" s="20">
        <v>0.53</v>
      </c>
      <c r="J43" s="20">
        <v>0.37</v>
      </c>
      <c r="K43" s="20">
        <v>0.36</v>
      </c>
      <c r="L43" s="20">
        <v>0.34</v>
      </c>
      <c r="M43" s="20">
        <v>0.32</v>
      </c>
      <c r="N43" s="2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9" t="s">
        <v>44</v>
      </c>
      <c r="B44" s="20">
        <v>0.38</v>
      </c>
      <c r="C44" s="20">
        <v>0.38</v>
      </c>
      <c r="D44" s="20">
        <v>0.38</v>
      </c>
      <c r="E44" s="20">
        <v>0.38</v>
      </c>
      <c r="F44" s="20">
        <v>0.37</v>
      </c>
      <c r="G44" s="20">
        <v>0.37</v>
      </c>
      <c r="H44" s="20">
        <v>0.37</v>
      </c>
      <c r="I44" s="20">
        <v>0.37</v>
      </c>
      <c r="J44" s="20">
        <v>0.37</v>
      </c>
      <c r="K44" s="20">
        <v>0.31</v>
      </c>
      <c r="L44" s="20">
        <v>0.26</v>
      </c>
      <c r="M44" s="20">
        <v>0.2</v>
      </c>
      <c r="N44" s="2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9" t="s">
        <v>45</v>
      </c>
      <c r="B45" s="20">
        <v>1.16</v>
      </c>
      <c r="C45" s="20">
        <v>1.28</v>
      </c>
      <c r="D45" s="20">
        <v>1.34</v>
      </c>
      <c r="E45" s="20">
        <v>1.34</v>
      </c>
      <c r="F45" s="20">
        <v>1.33</v>
      </c>
      <c r="G45" s="20">
        <v>1.13</v>
      </c>
      <c r="H45" s="20">
        <v>0.76</v>
      </c>
      <c r="I45" s="20">
        <v>0.5</v>
      </c>
      <c r="J45" s="20">
        <v>0.07</v>
      </c>
      <c r="K45" s="20">
        <v>0.03</v>
      </c>
      <c r="L45" s="20">
        <v>-0.02</v>
      </c>
      <c r="M45" s="20">
        <v>-0.06</v>
      </c>
      <c r="N45" s="2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9" t="s">
        <v>46</v>
      </c>
      <c r="B46" s="20">
        <v>0.82</v>
      </c>
      <c r="C46" s="20">
        <v>0.94</v>
      </c>
      <c r="D46" s="20">
        <v>0.98</v>
      </c>
      <c r="E46" s="20">
        <v>0.97</v>
      </c>
      <c r="F46" s="20">
        <v>0.93</v>
      </c>
      <c r="G46" s="20">
        <v>0.64</v>
      </c>
      <c r="H46" s="20">
        <v>0.31</v>
      </c>
      <c r="I46" s="20">
        <v>0.16</v>
      </c>
      <c r="J46" s="21"/>
      <c r="K46" s="21"/>
      <c r="L46" s="21"/>
      <c r="M46" s="21"/>
      <c r="N46" s="2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9" t="s">
        <v>47</v>
      </c>
      <c r="B47" s="20">
        <v>1.47</v>
      </c>
      <c r="C47" s="20">
        <v>1.6</v>
      </c>
      <c r="D47" s="20">
        <v>1.71</v>
      </c>
      <c r="E47" s="20">
        <v>1.81</v>
      </c>
      <c r="F47" s="20">
        <v>1.92</v>
      </c>
      <c r="G47" s="20">
        <v>2.05</v>
      </c>
      <c r="H47" s="20">
        <v>2.13</v>
      </c>
      <c r="I47" s="20">
        <v>2.06</v>
      </c>
      <c r="J47" s="21"/>
      <c r="K47" s="21"/>
      <c r="L47" s="21"/>
      <c r="M47" s="21"/>
      <c r="N47" s="2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9" t="s">
        <v>48</v>
      </c>
      <c r="B48" s="20">
        <v>1.29</v>
      </c>
      <c r="C48" s="20">
        <v>1.75</v>
      </c>
      <c r="D48" s="20">
        <v>1.79</v>
      </c>
      <c r="E48" s="20">
        <v>1.8</v>
      </c>
      <c r="F48" s="20">
        <v>1.8</v>
      </c>
      <c r="G48" s="20">
        <v>1.76</v>
      </c>
      <c r="H48" s="20">
        <v>1.29</v>
      </c>
      <c r="I48" s="20">
        <v>1.09</v>
      </c>
      <c r="J48" s="21"/>
      <c r="K48" s="21"/>
      <c r="L48" s="21"/>
      <c r="M48" s="21"/>
      <c r="N48" s="2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9" t="s">
        <v>49</v>
      </c>
      <c r="B49" s="20">
        <v>1.33</v>
      </c>
      <c r="C49" s="20">
        <v>1.83</v>
      </c>
      <c r="D49" s="20">
        <v>1.89</v>
      </c>
      <c r="E49" s="20">
        <v>1.89</v>
      </c>
      <c r="F49" s="20">
        <v>1.89</v>
      </c>
      <c r="G49" s="20">
        <v>1.81</v>
      </c>
      <c r="H49" s="20">
        <v>1.34</v>
      </c>
      <c r="I49" s="20">
        <v>1.13</v>
      </c>
      <c r="J49" s="21"/>
      <c r="K49" s="21"/>
      <c r="L49" s="21"/>
      <c r="M49" s="21"/>
      <c r="N49" s="2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9" t="s">
        <v>50</v>
      </c>
      <c r="B50" s="20">
        <v>1.36</v>
      </c>
      <c r="C50" s="20" t="s">
        <v>72</v>
      </c>
      <c r="D50" s="20">
        <v>1.92</v>
      </c>
      <c r="E50" s="20" t="s">
        <v>73</v>
      </c>
      <c r="F50" s="20">
        <v>1.92</v>
      </c>
      <c r="G50" s="20">
        <v>1.84</v>
      </c>
      <c r="H50" s="20">
        <v>1.36</v>
      </c>
      <c r="I50" s="20">
        <v>1.16</v>
      </c>
      <c r="J50" s="21"/>
      <c r="K50" s="21"/>
      <c r="L50" s="21"/>
      <c r="M50" s="21"/>
      <c r="N50" s="2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9" t="s">
        <v>51</v>
      </c>
      <c r="B51" s="20">
        <v>1.39</v>
      </c>
      <c r="C51" s="20">
        <v>1.89</v>
      </c>
      <c r="D51" s="20">
        <v>1.97</v>
      </c>
      <c r="E51" s="20">
        <v>1.97</v>
      </c>
      <c r="F51" s="20">
        <v>1.97</v>
      </c>
      <c r="G51" s="20">
        <v>1.89</v>
      </c>
      <c r="H51" s="20">
        <v>1.39</v>
      </c>
      <c r="I51" s="20">
        <v>1.19</v>
      </c>
      <c r="J51" s="21"/>
      <c r="K51" s="21"/>
      <c r="L51" s="21"/>
      <c r="M51" s="21"/>
      <c r="N51" s="2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9" t="s">
        <v>52</v>
      </c>
      <c r="B52" s="20">
        <v>1.43</v>
      </c>
      <c r="C52" s="20">
        <v>1.94</v>
      </c>
      <c r="D52" s="20">
        <v>2.0</v>
      </c>
      <c r="E52" s="20">
        <v>2.0</v>
      </c>
      <c r="F52" s="20">
        <v>2.0</v>
      </c>
      <c r="G52" s="20">
        <v>1.94</v>
      </c>
      <c r="H52" s="20">
        <v>1.43</v>
      </c>
      <c r="I52" s="20">
        <v>1.23</v>
      </c>
      <c r="J52" s="21"/>
      <c r="K52" s="21"/>
      <c r="L52" s="21"/>
      <c r="M52" s="21"/>
      <c r="N52" s="2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9" t="s">
        <v>53</v>
      </c>
      <c r="B53" s="20">
        <v>1.43</v>
      </c>
      <c r="C53" s="20">
        <v>1.94</v>
      </c>
      <c r="D53" s="20">
        <v>2.01</v>
      </c>
      <c r="E53" s="20">
        <v>2.01</v>
      </c>
      <c r="F53" s="20">
        <v>2.01</v>
      </c>
      <c r="G53" s="20">
        <v>1.94</v>
      </c>
      <c r="H53" s="20">
        <v>1.43</v>
      </c>
      <c r="I53" s="20">
        <v>1.23</v>
      </c>
      <c r="J53" s="21"/>
      <c r="K53" s="21"/>
      <c r="L53" s="21"/>
      <c r="M53" s="21"/>
      <c r="N53" s="2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9" t="s">
        <v>54</v>
      </c>
      <c r="B54" s="20">
        <v>1.44</v>
      </c>
      <c r="C54" s="20">
        <v>1.96</v>
      </c>
      <c r="D54" s="20">
        <v>2.04</v>
      </c>
      <c r="E54" s="20">
        <v>2.04</v>
      </c>
      <c r="F54" s="20">
        <v>2.04</v>
      </c>
      <c r="G54" s="20">
        <v>1.97</v>
      </c>
      <c r="H54" s="20">
        <v>1.44</v>
      </c>
      <c r="I54" s="20">
        <v>1.22</v>
      </c>
      <c r="J54" s="21"/>
      <c r="K54" s="21"/>
      <c r="L54" s="21"/>
      <c r="M54" s="21"/>
      <c r="N54" s="2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9" t="s">
        <v>55</v>
      </c>
      <c r="B55" s="20">
        <v>1.46</v>
      </c>
      <c r="C55" s="20">
        <v>1.97</v>
      </c>
      <c r="D55" s="20">
        <v>2.05</v>
      </c>
      <c r="E55" s="20">
        <v>2.05</v>
      </c>
      <c r="F55" s="20">
        <v>2.05</v>
      </c>
      <c r="G55" s="20">
        <v>1.97</v>
      </c>
      <c r="H55" s="20">
        <v>1.46</v>
      </c>
      <c r="I55" s="20">
        <v>1.23</v>
      </c>
      <c r="J55" s="21"/>
      <c r="K55" s="21"/>
      <c r="L55" s="21"/>
      <c r="M55" s="21"/>
      <c r="N55" s="2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9" t="s">
        <v>56</v>
      </c>
      <c r="B56" s="20">
        <v>1.49</v>
      </c>
      <c r="C56" s="20">
        <v>1.99</v>
      </c>
      <c r="D56" s="20">
        <v>2.06</v>
      </c>
      <c r="E56" s="20">
        <v>2.06</v>
      </c>
      <c r="F56" s="20">
        <v>2.06</v>
      </c>
      <c r="G56" s="20">
        <v>1.99</v>
      </c>
      <c r="H56" s="20">
        <v>1.48</v>
      </c>
      <c r="I56" s="20">
        <v>1.23</v>
      </c>
      <c r="J56" s="21"/>
      <c r="K56" s="21"/>
      <c r="L56" s="21"/>
      <c r="M56" s="21"/>
      <c r="N56" s="22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9" t="s">
        <v>57</v>
      </c>
      <c r="B57" s="20">
        <v>1.48</v>
      </c>
      <c r="C57" s="20">
        <v>1.99</v>
      </c>
      <c r="D57" s="20">
        <v>2.06</v>
      </c>
      <c r="E57" s="20">
        <v>2.07</v>
      </c>
      <c r="F57" s="20">
        <v>2.06</v>
      </c>
      <c r="G57" s="20">
        <v>1.98</v>
      </c>
      <c r="H57" s="20">
        <v>1.47</v>
      </c>
      <c r="I57" s="20">
        <v>1.23</v>
      </c>
      <c r="J57" s="21"/>
      <c r="K57" s="21"/>
      <c r="L57" s="21"/>
      <c r="M57" s="21"/>
      <c r="N57" s="2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9" t="s">
        <v>58</v>
      </c>
      <c r="B58" s="20">
        <v>1.48</v>
      </c>
      <c r="C58" s="20">
        <v>1.99</v>
      </c>
      <c r="D58" s="20">
        <v>2.06</v>
      </c>
      <c r="E58" s="20">
        <v>2.07</v>
      </c>
      <c r="F58" s="20">
        <v>2.06</v>
      </c>
      <c r="G58" s="20">
        <v>1.98</v>
      </c>
      <c r="H58" s="20">
        <v>1.47</v>
      </c>
      <c r="I58" s="20">
        <v>1.23</v>
      </c>
      <c r="J58" s="21"/>
      <c r="K58" s="21"/>
      <c r="L58" s="21"/>
      <c r="M58" s="21"/>
      <c r="N58" s="2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9" t="s">
        <v>59</v>
      </c>
      <c r="B59" s="20">
        <v>1.48</v>
      </c>
      <c r="C59" s="20">
        <v>1.99</v>
      </c>
      <c r="D59" s="20">
        <v>2.06</v>
      </c>
      <c r="E59" s="20">
        <v>2.07</v>
      </c>
      <c r="F59" s="20">
        <v>2.06</v>
      </c>
      <c r="G59" s="20">
        <v>1.98</v>
      </c>
      <c r="H59" s="20">
        <v>1.47</v>
      </c>
      <c r="I59" s="20">
        <v>1.23</v>
      </c>
      <c r="J59" s="21"/>
      <c r="K59" s="21"/>
      <c r="L59" s="21"/>
      <c r="M59" s="21"/>
      <c r="N59" s="2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9" t="s">
        <v>60</v>
      </c>
      <c r="B60" s="20">
        <v>1.47</v>
      </c>
      <c r="C60" s="20">
        <v>1.98</v>
      </c>
      <c r="D60" s="20">
        <v>2.06</v>
      </c>
      <c r="E60" s="20">
        <v>2.07</v>
      </c>
      <c r="F60" s="20">
        <v>2.06</v>
      </c>
      <c r="G60" s="20">
        <v>1.98</v>
      </c>
      <c r="H60" s="20">
        <v>1.46</v>
      </c>
      <c r="I60" s="20">
        <v>1.24</v>
      </c>
      <c r="J60" s="21"/>
      <c r="K60" s="21"/>
      <c r="L60" s="21"/>
      <c r="M60" s="21"/>
      <c r="N60" s="2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9" t="s">
        <v>61</v>
      </c>
      <c r="B61" s="20">
        <v>1.47</v>
      </c>
      <c r="C61" s="20">
        <v>1.98</v>
      </c>
      <c r="D61" s="20">
        <v>2.06</v>
      </c>
      <c r="E61" s="20">
        <v>2.06</v>
      </c>
      <c r="F61" s="20">
        <v>2.06</v>
      </c>
      <c r="G61" s="20">
        <v>1.98</v>
      </c>
      <c r="H61" s="20">
        <v>1.47</v>
      </c>
      <c r="I61" s="20">
        <v>1.24</v>
      </c>
      <c r="J61" s="21"/>
      <c r="K61" s="21"/>
      <c r="L61" s="21"/>
      <c r="M61" s="21"/>
      <c r="N61" s="22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9" t="s">
        <v>62</v>
      </c>
      <c r="B62" s="20">
        <v>1.48</v>
      </c>
      <c r="C62" s="20">
        <v>1.99</v>
      </c>
      <c r="D62" s="20">
        <v>2.06</v>
      </c>
      <c r="E62" s="20">
        <v>2.06</v>
      </c>
      <c r="F62" s="20">
        <v>2.05</v>
      </c>
      <c r="G62" s="20">
        <v>1.99</v>
      </c>
      <c r="H62" s="20">
        <v>1.47</v>
      </c>
      <c r="I62" s="20">
        <v>1.23</v>
      </c>
      <c r="J62" s="21"/>
      <c r="K62" s="21"/>
      <c r="L62" s="21"/>
      <c r="M62" s="21"/>
      <c r="N62" s="2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9" t="s">
        <v>63</v>
      </c>
      <c r="B63" s="20">
        <v>1.48</v>
      </c>
      <c r="C63" s="20">
        <v>1.99</v>
      </c>
      <c r="D63" s="20">
        <v>2.06</v>
      </c>
      <c r="E63" s="20">
        <v>2.06</v>
      </c>
      <c r="F63" s="20">
        <v>2.05</v>
      </c>
      <c r="G63" s="20">
        <v>1.99</v>
      </c>
      <c r="H63" s="20">
        <v>1.47</v>
      </c>
      <c r="I63" s="20">
        <v>1.23</v>
      </c>
      <c r="J63" s="21"/>
      <c r="K63" s="21"/>
      <c r="L63" s="21"/>
      <c r="M63" s="21"/>
      <c r="N63" s="2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9" t="s">
        <v>64</v>
      </c>
      <c r="B64" s="20">
        <v>1.48</v>
      </c>
      <c r="C64" s="20">
        <v>1.99</v>
      </c>
      <c r="D64" s="20">
        <v>2.06</v>
      </c>
      <c r="E64" s="20">
        <v>2.06</v>
      </c>
      <c r="F64" s="20">
        <v>2.05</v>
      </c>
      <c r="G64" s="20">
        <v>2.0</v>
      </c>
      <c r="H64" s="20">
        <v>1.47</v>
      </c>
      <c r="I64" s="20">
        <v>1.24</v>
      </c>
      <c r="J64" s="21"/>
      <c r="K64" s="21"/>
      <c r="L64" s="21"/>
      <c r="M64" s="21"/>
      <c r="N64" s="2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9" t="s">
        <v>65</v>
      </c>
      <c r="B65" s="20">
        <v>1.48</v>
      </c>
      <c r="C65" s="20">
        <v>1.99</v>
      </c>
      <c r="D65" s="20">
        <v>2.06</v>
      </c>
      <c r="E65" s="20">
        <v>2.06</v>
      </c>
      <c r="F65" s="20">
        <v>2.05</v>
      </c>
      <c r="G65" s="20">
        <v>2.0</v>
      </c>
      <c r="H65" s="20">
        <v>1.47</v>
      </c>
      <c r="I65" s="20">
        <v>1.24</v>
      </c>
      <c r="J65" s="21"/>
      <c r="K65" s="21"/>
      <c r="L65" s="21"/>
      <c r="M65" s="21"/>
      <c r="N65" s="2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9" t="s">
        <v>66</v>
      </c>
      <c r="B66" s="20">
        <v>1.46</v>
      </c>
      <c r="C66" s="20">
        <v>1.97</v>
      </c>
      <c r="D66" s="20">
        <v>2.06</v>
      </c>
      <c r="E66" s="20">
        <v>2.06</v>
      </c>
      <c r="F66" s="20">
        <v>2.06</v>
      </c>
      <c r="G66" s="20">
        <v>1.97</v>
      </c>
      <c r="H66" s="20">
        <v>1.47</v>
      </c>
      <c r="I66" s="20">
        <v>1.24</v>
      </c>
      <c r="J66" s="21"/>
      <c r="K66" s="21"/>
      <c r="L66" s="21"/>
      <c r="M66" s="21"/>
      <c r="N66" s="22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9" t="s">
        <v>67</v>
      </c>
      <c r="B67" s="20">
        <v>1.48</v>
      </c>
      <c r="C67" s="20">
        <v>1.99</v>
      </c>
      <c r="D67" s="20">
        <v>2.06</v>
      </c>
      <c r="E67" s="20">
        <v>2.06</v>
      </c>
      <c r="F67" s="20">
        <v>2.06</v>
      </c>
      <c r="G67" s="20">
        <v>1.98</v>
      </c>
      <c r="H67" s="20">
        <v>1.47</v>
      </c>
      <c r="I67" s="20">
        <v>1.23</v>
      </c>
      <c r="J67" s="21"/>
      <c r="K67" s="21"/>
      <c r="L67" s="21"/>
      <c r="M67" s="21"/>
      <c r="N67" s="22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9" t="s">
        <v>68</v>
      </c>
      <c r="B68" s="20">
        <v>1.66</v>
      </c>
      <c r="C68" s="20">
        <v>1.98</v>
      </c>
      <c r="D68" s="20">
        <v>2.06</v>
      </c>
      <c r="E68" s="20">
        <v>2.06</v>
      </c>
      <c r="F68" s="20">
        <v>2.06</v>
      </c>
      <c r="G68" s="20">
        <v>2.03</v>
      </c>
      <c r="H68" s="20">
        <v>1.55</v>
      </c>
      <c r="I68" s="20">
        <v>1.39</v>
      </c>
      <c r="J68" s="21"/>
      <c r="K68" s="21"/>
      <c r="L68" s="21"/>
      <c r="M68" s="21"/>
      <c r="N68" s="2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9" t="s">
        <v>69</v>
      </c>
      <c r="B69" s="20">
        <v>1.35</v>
      </c>
      <c r="C69" s="20">
        <v>1.42</v>
      </c>
      <c r="D69" s="20">
        <v>1.42</v>
      </c>
      <c r="E69" s="20">
        <v>1.43</v>
      </c>
      <c r="F69" s="20">
        <v>1.41</v>
      </c>
      <c r="G69" s="20">
        <v>1.31</v>
      </c>
      <c r="H69" s="20">
        <v>1.18</v>
      </c>
      <c r="I69" s="20">
        <v>0.96</v>
      </c>
      <c r="J69" s="21"/>
      <c r="K69" s="21"/>
      <c r="L69" s="21"/>
      <c r="M69" s="21"/>
      <c r="N69" s="2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9" t="s">
        <v>70</v>
      </c>
      <c r="B70" s="20">
        <v>0.61</v>
      </c>
      <c r="C70" s="20">
        <v>0.67</v>
      </c>
      <c r="D70" s="20">
        <v>0.72</v>
      </c>
      <c r="E70" s="20">
        <v>0.74</v>
      </c>
      <c r="F70" s="20">
        <v>0.71</v>
      </c>
      <c r="G70" s="20">
        <v>0.8</v>
      </c>
      <c r="H70" s="20">
        <v>0.84</v>
      </c>
      <c r="I70" s="20">
        <v>0.86</v>
      </c>
      <c r="J70" s="21"/>
      <c r="K70" s="21"/>
      <c r="L70" s="21"/>
      <c r="M70" s="21"/>
      <c r="N70" s="2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9">
        <v>1513.0</v>
      </c>
      <c r="B71" s="23">
        <v>-0.52</v>
      </c>
      <c r="C71" s="23">
        <v>-0.42</v>
      </c>
      <c r="D71" s="23">
        <v>0.23</v>
      </c>
      <c r="E71" s="23">
        <v>0.0</v>
      </c>
      <c r="F71" s="23">
        <v>0.32</v>
      </c>
      <c r="G71" s="23">
        <v>0.54</v>
      </c>
      <c r="H71" s="23">
        <v>0.7</v>
      </c>
      <c r="I71" s="23">
        <v>0.77</v>
      </c>
      <c r="J71" s="23">
        <v>0.79</v>
      </c>
      <c r="K71" s="23">
        <v>0.77</v>
      </c>
      <c r="L71" s="23">
        <v>0.59</v>
      </c>
      <c r="M71" s="23">
        <v>0.34</v>
      </c>
      <c r="N71" s="2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3.63"/>
    <col customWidth="1" min="4" max="4" width="22.13"/>
    <col customWidth="1" min="5" max="5" width="18.13"/>
    <col customWidth="1" min="6" max="6" width="19.13"/>
    <col customWidth="1" min="7" max="7" width="15.75"/>
    <col customWidth="1" min="8" max="8" width="14.63"/>
    <col customWidth="1" min="9" max="9" width="25.5"/>
    <col customWidth="1" min="10" max="11" width="19.75"/>
  </cols>
  <sheetData>
    <row r="1">
      <c r="A1" s="25" t="s">
        <v>74</v>
      </c>
    </row>
    <row r="2">
      <c r="A2" s="13" t="s">
        <v>75</v>
      </c>
      <c r="B2" s="26">
        <v>0.0</v>
      </c>
    </row>
    <row r="3">
      <c r="A3" s="13" t="s">
        <v>76</v>
      </c>
      <c r="B3" s="26">
        <v>250.0</v>
      </c>
    </row>
    <row r="4">
      <c r="A4" s="13" t="s">
        <v>71</v>
      </c>
      <c r="B4" s="13" t="s">
        <v>68</v>
      </c>
    </row>
    <row r="5">
      <c r="A5" s="13" t="s">
        <v>77</v>
      </c>
      <c r="B5" s="13">
        <v>0.006</v>
      </c>
    </row>
    <row r="6">
      <c r="A6" s="13" t="s">
        <v>78</v>
      </c>
      <c r="B6" s="13">
        <f>CONVERT(B5,"in","mm")</f>
        <v>0.1524</v>
      </c>
    </row>
    <row r="7">
      <c r="A7" s="13" t="s">
        <v>79</v>
      </c>
      <c r="B7" s="13">
        <v>0.09375</v>
      </c>
    </row>
    <row r="8">
      <c r="A8" s="13" t="s">
        <v>80</v>
      </c>
      <c r="B8" s="27">
        <f>CONVERT(B7,"in","mm")</f>
        <v>2.38125</v>
      </c>
    </row>
    <row r="9">
      <c r="A9" s="13" t="s">
        <v>81</v>
      </c>
      <c r="B9" s="27">
        <v>0.001</v>
      </c>
    </row>
    <row r="10">
      <c r="A10" s="13" t="s">
        <v>82</v>
      </c>
      <c r="B10" s="13">
        <v>300.0</v>
      </c>
    </row>
    <row r="11">
      <c r="A11" s="28"/>
      <c r="B11" s="17"/>
    </row>
    <row r="12">
      <c r="A12" s="28" t="s">
        <v>83</v>
      </c>
      <c r="B12" s="17">
        <f t="shared" ref="B12:B13" si="1">ROUND((B2-32)*5/9,6)</f>
        <v>-17.777778</v>
      </c>
    </row>
    <row r="13">
      <c r="A13" s="28" t="s">
        <v>84</v>
      </c>
      <c r="B13" s="17">
        <f t="shared" si="1"/>
        <v>121.111111</v>
      </c>
    </row>
    <row r="14">
      <c r="A14" s="28" t="s">
        <v>85</v>
      </c>
      <c r="B14" s="17">
        <f>B13-B12</f>
        <v>138.888889</v>
      </c>
    </row>
    <row r="15">
      <c r="E15" s="29">
        <f>MATCH($B$4, Flexivity!$A:$A, 0)</f>
        <v>68</v>
      </c>
    </row>
    <row r="16">
      <c r="A16" s="13" t="s">
        <v>86</v>
      </c>
      <c r="B16" s="24">
        <f>IFERROR($K$16 + (($B$2-$G$16)/($I$16-$G$16))*($M$16-$K$16), "")</f>
        <v>208</v>
      </c>
      <c r="D16" s="13" t="s">
        <v>87</v>
      </c>
      <c r="E16" s="29">
        <f>MATCH($B$2, Flexivity!$1:$1, 1)</f>
        <v>4</v>
      </c>
      <c r="F16" s="13" t="s">
        <v>88</v>
      </c>
      <c r="G16" s="29">
        <f t="array" ref="G16">INDEX(Flexivity!$1:$1,1,$E$16)</f>
        <v>0</v>
      </c>
      <c r="H16" s="13" t="s">
        <v>89</v>
      </c>
      <c r="I16" s="29">
        <f t="array" ref="I16">INDEX(Flexivity!$1:$1,1,$E$16+1)</f>
        <v>50</v>
      </c>
      <c r="J16" s="13" t="s">
        <v>90</v>
      </c>
      <c r="K16" s="16">
        <f t="array" ref="K16">INDEX(Flexivity!$A:$ZZ,$E$15,$E$16)</f>
        <v>208</v>
      </c>
      <c r="L16" s="13" t="s">
        <v>91</v>
      </c>
      <c r="M16" s="16">
        <f t="array" ref="M16">INDEX(Flexivity!$A:$ZZ,$E$15,$E$16+1)</f>
        <v>215</v>
      </c>
    </row>
    <row r="17">
      <c r="A17" s="13" t="s">
        <v>92</v>
      </c>
      <c r="B17" s="24">
        <f>IFERROR($K$17 + (($B$3-$G$17)/($I$17-$G$17))*($M$17-$K$17), "")</f>
        <v>216</v>
      </c>
      <c r="D17" s="13" t="s">
        <v>93</v>
      </c>
      <c r="F17" s="13" t="s">
        <v>94</v>
      </c>
      <c r="G17" s="29">
        <f t="array" ref="G17">INDEX(Flexivity!$1:$1,1,$E$18)</f>
        <v>250</v>
      </c>
      <c r="H17" s="13" t="s">
        <v>95</v>
      </c>
      <c r="I17" s="29">
        <f t="array" ref="I17">INDEX(Flexivity!$1:$1,1,$E$18+1)</f>
        <v>300</v>
      </c>
      <c r="J17" s="13" t="s">
        <v>96</v>
      </c>
      <c r="K17" s="16">
        <f t="array" ref="K17">INDEX(Flexivity!$A:$ZZ,$E$15,$E$18)</f>
        <v>216</v>
      </c>
      <c r="L17" s="13" t="s">
        <v>97</v>
      </c>
      <c r="M17" s="16">
        <f t="array" ref="M17">INDEX(Flexivity!$A:$ZZ,$E$15,$E$18+1)</f>
        <v>216</v>
      </c>
    </row>
    <row r="18">
      <c r="A18" s="13" t="s">
        <v>98</v>
      </c>
      <c r="B18" s="24">
        <f>IFERROR(AVERAGE(B16,B17), "")</f>
        <v>212</v>
      </c>
      <c r="D18" s="13" t="s">
        <v>99</v>
      </c>
      <c r="E18" s="29">
        <f>MATCH($B$3, Flexivity!$1:$1, 1)</f>
        <v>9</v>
      </c>
    </row>
    <row r="19">
      <c r="B19" s="30">
        <v>211.16</v>
      </c>
    </row>
    <row r="20">
      <c r="B20" s="24"/>
    </row>
    <row r="22">
      <c r="A22" s="13" t="s">
        <v>100</v>
      </c>
      <c r="B22" s="16">
        <f t="array" ref="B22">XLOOKUP($B$4, Flexivity!$A:$A, Flexivity!$V:$V)
</f>
        <v>20</v>
      </c>
      <c r="D22" s="13"/>
      <c r="F22" s="13"/>
      <c r="H22" s="13"/>
      <c r="J22" s="13"/>
      <c r="L22" s="13"/>
    </row>
    <row r="23">
      <c r="A23" s="13" t="s">
        <v>101</v>
      </c>
      <c r="B23" s="24">
        <f>IFERROR($K$23 + (($B$12-$G$23)/($I$23-$G$23))*($M$23-$K$23), "")</f>
        <v>1.866222221</v>
      </c>
      <c r="D23" s="13" t="s">
        <v>102</v>
      </c>
      <c r="E23" s="29">
        <f>MATCH($B$4, SpecificDeflection!$A:$A, 0)</f>
        <v>68</v>
      </c>
      <c r="F23" s="13" t="s">
        <v>88</v>
      </c>
      <c r="G23" s="29">
        <f t="array" ref="G23">INDEX(SpecificDeflection!$1:$1,1,$E$24)</f>
        <v>-50</v>
      </c>
      <c r="H23" s="13" t="s">
        <v>89</v>
      </c>
      <c r="I23" s="29">
        <f t="array" ref="I23">INDEX(SpecificDeflection!$1:$1,1,$E$24+1)</f>
        <v>0</v>
      </c>
      <c r="J23" s="13" t="s">
        <v>90</v>
      </c>
      <c r="K23" s="24">
        <f t="array" ref="K23">INDEX(SpecificDeflection!$A:$ZZ,$E$23,$E$24)</f>
        <v>1.66</v>
      </c>
      <c r="L23" s="13" t="s">
        <v>91</v>
      </c>
      <c r="M23" s="24">
        <f t="array" ref="M23">INDEX(SpecificDeflection!$A:$ZZ,$E$23,$E$24+1)</f>
        <v>1.98</v>
      </c>
    </row>
    <row r="24">
      <c r="A24" s="13" t="s">
        <v>103</v>
      </c>
      <c r="B24" s="24">
        <f>IFERROR($K$24 + (($B$13-$G$24)/($I$24-$G$24))*($M$24-$K$24), "")</f>
        <v>2.06</v>
      </c>
      <c r="D24" s="13" t="s">
        <v>104</v>
      </c>
      <c r="E24" s="29">
        <f>MATCH($B$12, SpecificDeflection!$1:$1, 1)</f>
        <v>2</v>
      </c>
      <c r="F24" s="13" t="s">
        <v>94</v>
      </c>
      <c r="G24" s="29">
        <f t="array" ref="G24">INDEX(SpecificDeflection!$1:$1,1,$E$25)</f>
        <v>100</v>
      </c>
      <c r="H24" s="13" t="s">
        <v>95</v>
      </c>
      <c r="I24" s="29">
        <f t="array" ref="I24">INDEX(SpecificDeflection!$1:$1,1,$E$25+1)</f>
        <v>150</v>
      </c>
      <c r="J24" s="13" t="s">
        <v>96</v>
      </c>
      <c r="K24" s="24">
        <f t="array" ref="K24">INDEX(SpecificDeflection!$A:$ZZ,$E$23,$E$25)</f>
        <v>2.06</v>
      </c>
      <c r="L24" s="13" t="s">
        <v>97</v>
      </c>
      <c r="M24" s="24">
        <f t="array" ref="M24">INDEX(SpecificDeflection!$A:$ZZ,$E$23,$E$25+1)</f>
        <v>2.06</v>
      </c>
    </row>
    <row r="25">
      <c r="A25" s="13" t="s">
        <v>105</v>
      </c>
      <c r="B25" s="24">
        <f>IFERROR(AVERAGE(B23,B24), "")</f>
        <v>1.96311111</v>
      </c>
      <c r="D25" s="13" t="s">
        <v>106</v>
      </c>
      <c r="E25" s="29">
        <f>MATCH($B$13, SpecificDeflection!$1:$1, 1)</f>
        <v>5</v>
      </c>
    </row>
    <row r="27">
      <c r="A27" s="13" t="s">
        <v>107</v>
      </c>
      <c r="B27" s="31">
        <f>IFERROR( ( $B$10 * $B$5 ) / ( 67 * ($B$18*10^-7) * ( $B$3 - $B$2 )) , "Check inputs")</f>
        <v>5.068994649</v>
      </c>
    </row>
    <row r="28" ht="22.5" customHeight="1">
      <c r="B28" s="32"/>
      <c r="E28" s="33" t="s">
        <v>108</v>
      </c>
      <c r="F28" s="33" t="s">
        <v>109</v>
      </c>
      <c r="G28" s="33" t="s">
        <v>110</v>
      </c>
    </row>
    <row r="29" ht="22.5" customHeight="1">
      <c r="A29" s="13"/>
      <c r="E29" s="34">
        <v>300.0</v>
      </c>
      <c r="F29" s="35">
        <f t="shared" ref="F29:F35" si="2">IFERROR( ( $E29 * $B$5 ) / ( 67 * ($B$18*10^-7) * ( $B$3 - $B$2 )) , "Check inputs")</f>
        <v>5.068994649</v>
      </c>
      <c r="G29" s="35">
        <f>F29-F29</f>
        <v>0</v>
      </c>
    </row>
    <row r="30" ht="22.5" customHeight="1">
      <c r="A30" s="13" t="s">
        <v>111</v>
      </c>
      <c r="B30" s="29">
        <f>(B22*B10*B8*B6^3)/(690*B27*0.21)</f>
        <v>0.06885269219</v>
      </c>
      <c r="E30" s="36">
        <f t="shared" ref="E30:E35" si="3">E29+5</f>
        <v>305</v>
      </c>
      <c r="F30" s="35">
        <f t="shared" si="2"/>
        <v>5.153477894</v>
      </c>
      <c r="G30" s="35">
        <f t="shared" ref="G30:G35" si="4">F30-$F29</f>
        <v>0.08448324416</v>
      </c>
    </row>
    <row r="31" ht="22.5" customHeight="1">
      <c r="E31" s="36">
        <f t="shared" si="3"/>
        <v>310</v>
      </c>
      <c r="F31" s="35">
        <f t="shared" si="2"/>
        <v>5.237961138</v>
      </c>
      <c r="G31" s="35">
        <f t="shared" si="4"/>
        <v>0.08448324416</v>
      </c>
    </row>
    <row r="32" ht="22.5" customHeight="1">
      <c r="A32" s="28" t="s">
        <v>112</v>
      </c>
      <c r="E32" s="36">
        <f t="shared" si="3"/>
        <v>315</v>
      </c>
      <c r="F32" s="35">
        <f t="shared" si="2"/>
        <v>5.322444382</v>
      </c>
      <c r="G32" s="35">
        <f t="shared" si="4"/>
        <v>0.08448324416</v>
      </c>
    </row>
    <row r="33" ht="22.5" customHeight="1">
      <c r="A33" s="13" t="s">
        <v>71</v>
      </c>
      <c r="B33" s="13" t="s">
        <v>113</v>
      </c>
      <c r="C33" s="13" t="s">
        <v>114</v>
      </c>
      <c r="E33" s="36">
        <f t="shared" si="3"/>
        <v>320</v>
      </c>
      <c r="F33" s="35">
        <f t="shared" si="2"/>
        <v>5.406927626</v>
      </c>
      <c r="G33" s="35">
        <f t="shared" si="4"/>
        <v>0.08448324416</v>
      </c>
      <c r="I33" s="37" t="s">
        <v>115</v>
      </c>
    </row>
    <row r="34" ht="22.5" customHeight="1">
      <c r="A34" s="13" t="s">
        <v>116</v>
      </c>
      <c r="B34" s="13">
        <v>0.006</v>
      </c>
      <c r="C34" s="13">
        <v>0.5692</v>
      </c>
      <c r="E34" s="36">
        <f t="shared" si="3"/>
        <v>325</v>
      </c>
      <c r="F34" s="35">
        <f t="shared" si="2"/>
        <v>5.49141087</v>
      </c>
      <c r="G34" s="35">
        <f t="shared" si="4"/>
        <v>0.08448324416</v>
      </c>
    </row>
    <row r="35" ht="22.5" customHeight="1">
      <c r="A35" s="13" t="s">
        <v>5</v>
      </c>
      <c r="B35" s="13">
        <v>0.006</v>
      </c>
      <c r="C35" s="13">
        <v>1.0653</v>
      </c>
      <c r="E35" s="36">
        <f t="shared" si="3"/>
        <v>330</v>
      </c>
      <c r="F35" s="35">
        <f t="shared" si="2"/>
        <v>5.575894114</v>
      </c>
      <c r="G35" s="35">
        <f t="shared" si="4"/>
        <v>0.08448324416</v>
      </c>
    </row>
    <row r="38">
      <c r="A38" s="13" t="s">
        <v>71</v>
      </c>
      <c r="B38" s="13" t="s">
        <v>117</v>
      </c>
      <c r="C38" s="13" t="s">
        <v>118</v>
      </c>
      <c r="D38" s="13" t="s">
        <v>119</v>
      </c>
      <c r="E38" s="13" t="s">
        <v>120</v>
      </c>
      <c r="F38" s="13" t="s">
        <v>121</v>
      </c>
      <c r="G38" s="13" t="s">
        <v>122</v>
      </c>
      <c r="H38" s="13" t="s">
        <v>123</v>
      </c>
      <c r="I38" s="13" t="s">
        <v>124</v>
      </c>
      <c r="J38" s="13" t="s">
        <v>125</v>
      </c>
    </row>
    <row r="39">
      <c r="A39" s="13" t="s">
        <v>126</v>
      </c>
      <c r="B39" s="38">
        <f>118*10^-7</f>
        <v>0.0000118</v>
      </c>
      <c r="C39" s="38">
        <f t="shared" ref="C39:C42" si="5">B39+(B39*5%)</f>
        <v>0.00001239</v>
      </c>
      <c r="D39" s="38">
        <f t="shared" ref="D39:D42" si="6">B39-(B39*5%)</f>
        <v>0.00001121</v>
      </c>
      <c r="E39" s="38">
        <f>ANGULAR_DEFLECTION(Physical_Dims[Thickness (in)],Physical_Dims[Active Length (in)],B39,500)</f>
        <v>271.0628571</v>
      </c>
      <c r="F39" s="38">
        <f>ANGULAR_DEFLECTION(Physical_Dims[Thickness (in)],Physical_Dims[Active Length (in)],C39,500)</f>
        <v>284.616</v>
      </c>
      <c r="G39" s="38">
        <f>ANGULAR_DEFLECTION(Physical_Dims[Thickness (in)],Physical_Dims[Active Length (in)],D39,500)</f>
        <v>257.5097143</v>
      </c>
      <c r="H39" s="39">
        <v>600.0</v>
      </c>
    </row>
    <row r="40">
      <c r="A40" s="13" t="s">
        <v>127</v>
      </c>
      <c r="B40" s="39">
        <f>86*10^-7</f>
        <v>0.0000086</v>
      </c>
      <c r="C40" s="38">
        <f t="shared" si="5"/>
        <v>0.00000903</v>
      </c>
      <c r="D40" s="38">
        <f t="shared" si="6"/>
        <v>0.00000817</v>
      </c>
      <c r="E40" s="38"/>
      <c r="F40" s="38"/>
      <c r="G40" s="38"/>
      <c r="H40" s="38"/>
    </row>
    <row r="41">
      <c r="A41" s="13" t="s">
        <v>128</v>
      </c>
      <c r="B41" s="38">
        <f>64*10^-7</f>
        <v>0.0000064</v>
      </c>
      <c r="C41" s="38">
        <f t="shared" si="5"/>
        <v>0.00000672</v>
      </c>
      <c r="D41" s="38">
        <f t="shared" si="6"/>
        <v>0.00000608</v>
      </c>
      <c r="E41" s="38"/>
      <c r="F41" s="38"/>
      <c r="G41" s="38"/>
      <c r="H41" s="38"/>
    </row>
    <row r="42">
      <c r="A42" s="13" t="s">
        <v>129</v>
      </c>
      <c r="B42" s="38">
        <f>217*10^-7</f>
        <v>0.0000217</v>
      </c>
      <c r="C42" s="38">
        <f t="shared" si="5"/>
        <v>0.000022785</v>
      </c>
      <c r="D42" s="38">
        <f t="shared" si="6"/>
        <v>0.000020615</v>
      </c>
      <c r="E42" s="38"/>
      <c r="F42" s="38"/>
      <c r="G42" s="38"/>
      <c r="H42" s="38"/>
    </row>
  </sheetData>
  <mergeCells count="1">
    <mergeCell ref="I33:J33"/>
  </mergeCells>
  <dataValidations>
    <dataValidation type="list" allowBlank="1" sqref="B4">
      <formula1>Flexivity!$A$2:$A$501</formula1>
    </dataValidation>
    <dataValidation type="custom" allowBlank="1" showDropDown="1" sqref="F29:G35">
      <formula1>AND(ISNUMBER(F29),(NOT(OR(NOT(ISERROR(DATEVALUE(F29))), AND(ISNUMBER(F29), LEFT(CELL("format", F29))="D")))))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3" max="3" width="18.5"/>
  </cols>
  <sheetData>
    <row r="1" ht="22.5" customHeight="1">
      <c r="A1" s="40" t="s">
        <v>130</v>
      </c>
      <c r="B1" s="40" t="s">
        <v>131</v>
      </c>
    </row>
    <row r="2" ht="22.5" customHeight="1">
      <c r="A2" s="34">
        <v>0.00875</v>
      </c>
      <c r="B2" s="34">
        <v>6.0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4" max="4" width="22.13"/>
  </cols>
  <sheetData>
    <row r="1">
      <c r="A1" s="25" t="s">
        <v>74</v>
      </c>
    </row>
    <row r="2">
      <c r="A2" s="13" t="s">
        <v>75</v>
      </c>
      <c r="B2" s="26">
        <v>-40.0</v>
      </c>
    </row>
    <row r="3">
      <c r="A3" s="13" t="s">
        <v>76</v>
      </c>
      <c r="B3" s="26">
        <v>180.0</v>
      </c>
    </row>
    <row r="4">
      <c r="A4" s="13" t="s">
        <v>71</v>
      </c>
      <c r="B4" s="13" t="s">
        <v>68</v>
      </c>
    </row>
    <row r="5">
      <c r="A5" s="13" t="s">
        <v>77</v>
      </c>
      <c r="B5" s="13">
        <v>0.006</v>
      </c>
    </row>
    <row r="6">
      <c r="A6" s="13" t="s">
        <v>78</v>
      </c>
      <c r="B6" s="13">
        <f>CONVERT(B5,"in","mm")</f>
        <v>0.1524</v>
      </c>
    </row>
    <row r="7">
      <c r="A7" s="13" t="s">
        <v>79</v>
      </c>
      <c r="B7" s="13">
        <v>0.062</v>
      </c>
    </row>
    <row r="8">
      <c r="A8" s="13" t="s">
        <v>80</v>
      </c>
      <c r="B8" s="27">
        <f>CONVERT(B7,"in","mm")</f>
        <v>1.5748</v>
      </c>
    </row>
    <row r="9">
      <c r="A9" s="13" t="s">
        <v>81</v>
      </c>
      <c r="B9" s="27">
        <v>0.001</v>
      </c>
    </row>
    <row r="10">
      <c r="A10" s="13" t="s">
        <v>82</v>
      </c>
      <c r="B10" s="13">
        <v>300.0</v>
      </c>
    </row>
    <row r="11">
      <c r="A11" s="28"/>
      <c r="B11" s="17"/>
    </row>
    <row r="12">
      <c r="A12" s="28" t="s">
        <v>83</v>
      </c>
      <c r="B12" s="17">
        <f t="shared" ref="B12:B13" si="1">ROUND((B2-32)*5/9,6)</f>
        <v>-40</v>
      </c>
    </row>
    <row r="13">
      <c r="A13" s="28" t="s">
        <v>84</v>
      </c>
      <c r="B13" s="17">
        <f t="shared" si="1"/>
        <v>82.222222</v>
      </c>
    </row>
    <row r="14">
      <c r="A14" s="28" t="s">
        <v>85</v>
      </c>
      <c r="B14" s="17">
        <f>B13-B12</f>
        <v>122.222222</v>
      </c>
    </row>
    <row r="15">
      <c r="E15" s="29">
        <f>MATCH($B$4, Flexivity!$A:$A, 0)</f>
        <v>68</v>
      </c>
    </row>
    <row r="16">
      <c r="A16" s="13" t="s">
        <v>86</v>
      </c>
      <c r="B16" s="24">
        <f>IFERROR($K$16 + (($B$2-$G$16)/($I$16-$G$16))*($M$16-$K$16), "")</f>
        <v>198.4</v>
      </c>
      <c r="D16" s="13" t="s">
        <v>87</v>
      </c>
      <c r="E16" s="29">
        <f>MATCH($B$2, Flexivity!$1:$1, 1)</f>
        <v>3</v>
      </c>
      <c r="F16" s="13" t="s">
        <v>88</v>
      </c>
      <c r="G16" s="29">
        <f t="array" ref="G16">INDEX(Flexivity!$1:$1,1,$E$16)</f>
        <v>-50</v>
      </c>
      <c r="H16" s="13" t="s">
        <v>89</v>
      </c>
      <c r="I16" s="29">
        <f t="array" ref="I16">INDEX(Flexivity!$1:$1,1,$E$16+1)</f>
        <v>0</v>
      </c>
      <c r="J16" s="13" t="s">
        <v>90</v>
      </c>
      <c r="K16" s="16">
        <f t="array" ref="K16">INDEX(Flexivity!$A:$ZZ,$E$15,$E$16)</f>
        <v>196</v>
      </c>
      <c r="L16" s="13" t="s">
        <v>91</v>
      </c>
      <c r="M16" s="16">
        <f t="array" ref="M16">INDEX(Flexivity!$A:$ZZ,$E$15,$E$16+1)</f>
        <v>208</v>
      </c>
    </row>
    <row r="17">
      <c r="A17" s="13" t="s">
        <v>92</v>
      </c>
      <c r="B17" s="24">
        <f>IFERROR($K$17 + (($B$3-$G$17)/($I$17-$G$17))*($M$17-$K$17), "")</f>
        <v>215.6</v>
      </c>
      <c r="D17" s="13" t="s">
        <v>93</v>
      </c>
      <c r="F17" s="13" t="s">
        <v>94</v>
      </c>
      <c r="G17" s="29">
        <f t="array" ref="G17">INDEX(Flexivity!$1:$1,1,$E$18)</f>
        <v>150</v>
      </c>
      <c r="H17" s="13" t="s">
        <v>95</v>
      </c>
      <c r="I17" s="29">
        <f t="array" ref="I17">INDEX(Flexivity!$1:$1,1,$E$18+1)</f>
        <v>200</v>
      </c>
      <c r="J17" s="13" t="s">
        <v>96</v>
      </c>
      <c r="K17" s="16">
        <f t="array" ref="K17">INDEX(Flexivity!$A:$ZZ,$E$15,$E$18)</f>
        <v>215</v>
      </c>
      <c r="L17" s="13" t="s">
        <v>97</v>
      </c>
      <c r="M17" s="16">
        <f t="array" ref="M17">INDEX(Flexivity!$A:$ZZ,$E$15,$E$18+1)</f>
        <v>216</v>
      </c>
    </row>
    <row r="18">
      <c r="A18" s="13" t="s">
        <v>98</v>
      </c>
      <c r="B18" s="24">
        <f>IFERROR(AVERAGE(B16,B17), "")</f>
        <v>207</v>
      </c>
      <c r="D18" s="13" t="s">
        <v>99</v>
      </c>
      <c r="E18" s="29">
        <f>MATCH($B$3, Flexivity!$1:$1, 1)</f>
        <v>7</v>
      </c>
    </row>
    <row r="19">
      <c r="B19" s="30">
        <v>211.16</v>
      </c>
    </row>
    <row r="20">
      <c r="B20" s="24"/>
    </row>
    <row r="22">
      <c r="A22" s="13" t="s">
        <v>100</v>
      </c>
      <c r="B22" s="16">
        <f t="array" ref="B22">XLOOKUP($B$4, Flexivity!$A:$A, Flexivity!$V:$V)
</f>
        <v>20</v>
      </c>
      <c r="D22" s="13"/>
      <c r="F22" s="13"/>
      <c r="H22" s="13"/>
      <c r="J22" s="13"/>
      <c r="L22" s="13"/>
    </row>
    <row r="23">
      <c r="A23" s="13" t="s">
        <v>101</v>
      </c>
      <c r="B23" s="24">
        <f>IFERROR($K$23 + (($B$12-$G$23)/($I$23-$G$23))*($M$23-$K$23), "")</f>
        <v>1.724</v>
      </c>
      <c r="D23" s="13" t="s">
        <v>102</v>
      </c>
      <c r="E23" s="29">
        <f>MATCH($B$4, SpecificDeflection!$A:$A, 0)</f>
        <v>68</v>
      </c>
      <c r="F23" s="13" t="s">
        <v>88</v>
      </c>
      <c r="G23" s="29">
        <f t="array" ref="G23">INDEX(SpecificDeflection!$1:$1,1,$E$24)</f>
        <v>-50</v>
      </c>
      <c r="H23" s="13" t="s">
        <v>89</v>
      </c>
      <c r="I23" s="29">
        <f t="array" ref="I23">INDEX(SpecificDeflection!$1:$1,1,$E$24+1)</f>
        <v>0</v>
      </c>
      <c r="J23" s="13" t="s">
        <v>90</v>
      </c>
      <c r="K23" s="24">
        <f t="array" ref="K23">INDEX(SpecificDeflection!$A:$ZZ,$E$23,$E$24)</f>
        <v>1.66</v>
      </c>
      <c r="L23" s="13" t="s">
        <v>91</v>
      </c>
      <c r="M23" s="24">
        <f t="array" ref="M23">INDEX(SpecificDeflection!$A:$ZZ,$E$23,$E$24+1)</f>
        <v>1.98</v>
      </c>
    </row>
    <row r="24">
      <c r="A24" s="13" t="s">
        <v>103</v>
      </c>
      <c r="B24" s="24">
        <f>IFERROR($K$24 + (($B$13-$G$24)/($I$24-$G$24))*($M$24-$K$24), "")</f>
        <v>2.06</v>
      </c>
      <c r="D24" s="13" t="s">
        <v>104</v>
      </c>
      <c r="E24" s="29">
        <f>MATCH($B$12, SpecificDeflection!$1:$1, 1)</f>
        <v>2</v>
      </c>
      <c r="F24" s="13" t="s">
        <v>94</v>
      </c>
      <c r="G24" s="29">
        <f t="array" ref="G24">INDEX(SpecificDeflection!$1:$1,1,$E$25)</f>
        <v>50</v>
      </c>
      <c r="H24" s="13" t="s">
        <v>95</v>
      </c>
      <c r="I24" s="29">
        <f t="array" ref="I24">INDEX(SpecificDeflection!$1:$1,1,$E$25+1)</f>
        <v>100</v>
      </c>
      <c r="J24" s="13" t="s">
        <v>96</v>
      </c>
      <c r="K24" s="24">
        <f t="array" ref="K24">INDEX(SpecificDeflection!$A:$ZZ,$E$23,$E$25)</f>
        <v>2.06</v>
      </c>
      <c r="L24" s="13" t="s">
        <v>97</v>
      </c>
      <c r="M24" s="24">
        <f t="array" ref="M24">INDEX(SpecificDeflection!$A:$ZZ,$E$23,$E$25+1)</f>
        <v>2.06</v>
      </c>
    </row>
    <row r="25">
      <c r="A25" s="13" t="s">
        <v>105</v>
      </c>
      <c r="B25" s="24">
        <f>IFERROR(AVERAGE(B23,B24), "")</f>
        <v>1.892</v>
      </c>
      <c r="D25" s="13" t="s">
        <v>106</v>
      </c>
      <c r="E25" s="29">
        <f>MATCH($B$13, SpecificDeflection!$1:$1, 1)</f>
        <v>4</v>
      </c>
    </row>
    <row r="27">
      <c r="A27" s="13" t="s">
        <v>132</v>
      </c>
      <c r="B27" s="24">
        <f>IFERROR( ( $B$10 * 8 * $B$6 ) / ( ($B$25*10^-5) * ( $B$13 - $B$12 ) * 1000) , "Check inputs")</f>
        <v>158.1702867</v>
      </c>
      <c r="D27" s="13" t="s">
        <v>133</v>
      </c>
      <c r="E27" s="29">
        <f>IFERROR( ( $B$10 * 8 * $B$6 ) / ( $B$18 * ( $B$13 - $B$12 ) ) * 1000 , "Check inputs")</f>
        <v>14.45691702</v>
      </c>
    </row>
    <row r="28">
      <c r="A28" s="13" t="s">
        <v>107</v>
      </c>
      <c r="B28" s="32">
        <f>CONVERT(B27,"mm","in")</f>
        <v>6.22717664</v>
      </c>
      <c r="D28" s="13" t="s">
        <v>134</v>
      </c>
    </row>
    <row r="29">
      <c r="A29" s="13"/>
    </row>
    <row r="30">
      <c r="A30" s="13" t="s">
        <v>111</v>
      </c>
      <c r="B30" s="29">
        <f>(B22*B10*B8*B6^3)/(690*B27*0.21)</f>
        <v>0.00145927879</v>
      </c>
    </row>
    <row r="32">
      <c r="A32" s="28" t="s">
        <v>112</v>
      </c>
    </row>
    <row r="33">
      <c r="A33" s="13" t="s">
        <v>71</v>
      </c>
      <c r="B33" s="13" t="s">
        <v>113</v>
      </c>
      <c r="C33" s="13" t="s">
        <v>114</v>
      </c>
    </row>
    <row r="34">
      <c r="A34" s="13" t="s">
        <v>116</v>
      </c>
      <c r="B34" s="13">
        <v>0.006</v>
      </c>
      <c r="C34" s="13">
        <v>0.5692</v>
      </c>
    </row>
    <row r="35">
      <c r="A35" s="13" t="s">
        <v>5</v>
      </c>
      <c r="B35" s="13">
        <v>0.006</v>
      </c>
      <c r="C35" s="13">
        <v>1.0653</v>
      </c>
    </row>
  </sheetData>
  <dataValidations>
    <dataValidation type="list" allowBlank="1" sqref="B4">
      <formula1>Flexivity!$A$2:$A$501</formula1>
    </dataValidation>
  </dataValidations>
  <drawing r:id="rId1"/>
</worksheet>
</file>